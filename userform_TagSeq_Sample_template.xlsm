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HLM/excel_macros/library_templates/"/>
    </mc:Choice>
  </mc:AlternateContent>
  <xr:revisionPtr revIDLastSave="0" documentId="13_ncr:1_{1B8304C2-3F53-6640-87E1-699FCED8CC1C}" xr6:coauthVersionLast="47" xr6:coauthVersionMax="47" xr10:uidLastSave="{00000000-0000-0000-0000-000000000000}"/>
  <bookViews>
    <workbookView xWindow="12520" yWindow="460" windowWidth="22620" windowHeight="16940" activeTab="1" xr2:uid="{F6221DE1-A5C7-E148-802E-79F53D275DC2}"/>
  </bookViews>
  <sheets>
    <sheet name="Enter Samples in Plate Map" sheetId="1" r:id="rId1"/>
    <sheet name="Sample Summary" sheetId="3" r:id="rId2"/>
    <sheet name="Sample Names and Indices" sheetId="4" r:id="rId3"/>
    <sheet name="Index Plate Layout" sheetId="5" r:id="rId4"/>
    <sheet name="Summary Plate Map" sheetId="2" r:id="rId5"/>
    <sheet name="Sample Names and Concentrations" sheetId="7" r:id="rId6"/>
  </sheets>
  <functionGroups builtInGroupCount="19"/>
  <externalReferences>
    <externalReference r:id="rId7"/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8" i="4" l="1"/>
  <c r="D98" i="4"/>
  <c r="C98" i="4"/>
  <c r="B98" i="4"/>
  <c r="E97" i="4"/>
  <c r="D97" i="4"/>
  <c r="C97" i="4"/>
  <c r="B97" i="4"/>
  <c r="E96" i="4"/>
  <c r="D96" i="4"/>
  <c r="C96" i="4"/>
  <c r="B96" i="4"/>
  <c r="E95" i="4"/>
  <c r="D95" i="4"/>
  <c r="C95" i="4"/>
  <c r="B95" i="4"/>
  <c r="E94" i="4"/>
  <c r="D94" i="4"/>
  <c r="C94" i="4"/>
  <c r="B94" i="4"/>
  <c r="E93" i="4"/>
  <c r="D93" i="4"/>
  <c r="C93" i="4"/>
  <c r="B93" i="4"/>
  <c r="E92" i="4"/>
  <c r="D92" i="4"/>
  <c r="C92" i="4"/>
  <c r="B92" i="4"/>
  <c r="E91" i="4"/>
  <c r="D91" i="4"/>
  <c r="C91" i="4"/>
  <c r="B91" i="4"/>
  <c r="E90" i="4"/>
  <c r="D90" i="4"/>
  <c r="C90" i="4"/>
  <c r="B90" i="4"/>
  <c r="E89" i="4"/>
  <c r="D89" i="4"/>
  <c r="C89" i="4"/>
  <c r="B89" i="4"/>
  <c r="E88" i="4"/>
  <c r="D88" i="4"/>
  <c r="C88" i="4"/>
  <c r="B88" i="4"/>
  <c r="E87" i="4"/>
  <c r="D87" i="4"/>
  <c r="C87" i="4"/>
  <c r="B87" i="4"/>
  <c r="E86" i="4"/>
  <c r="D86" i="4"/>
  <c r="C86" i="4"/>
  <c r="B86" i="4"/>
  <c r="E85" i="4"/>
  <c r="D85" i="4"/>
  <c r="C85" i="4"/>
  <c r="B85" i="4"/>
  <c r="E84" i="4"/>
  <c r="D84" i="4"/>
  <c r="C84" i="4"/>
  <c r="B84" i="4"/>
  <c r="E83" i="4"/>
  <c r="D83" i="4"/>
  <c r="C83" i="4"/>
  <c r="B83" i="4"/>
  <c r="E82" i="4"/>
  <c r="D82" i="4"/>
  <c r="C82" i="4"/>
  <c r="B82" i="4"/>
  <c r="E81" i="4"/>
  <c r="D81" i="4"/>
  <c r="C81" i="4"/>
  <c r="B81" i="4"/>
  <c r="E80" i="4"/>
  <c r="D80" i="4"/>
  <c r="C80" i="4"/>
  <c r="B80" i="4"/>
  <c r="E79" i="4"/>
  <c r="D79" i="4"/>
  <c r="C79" i="4"/>
  <c r="B79" i="4"/>
  <c r="E78" i="4"/>
  <c r="D78" i="4"/>
  <c r="C78" i="4"/>
  <c r="B78" i="4"/>
  <c r="E77" i="4"/>
  <c r="D77" i="4"/>
  <c r="C77" i="4"/>
  <c r="B77" i="4"/>
  <c r="E76" i="4"/>
  <c r="D76" i="4"/>
  <c r="C76" i="4"/>
  <c r="B76" i="4"/>
  <c r="E75" i="4"/>
  <c r="D75" i="4"/>
  <c r="C75" i="4"/>
  <c r="B75" i="4"/>
  <c r="E74" i="4"/>
  <c r="D74" i="4"/>
  <c r="C74" i="4"/>
  <c r="B74" i="4"/>
  <c r="E73" i="4"/>
  <c r="D73" i="4"/>
  <c r="C73" i="4"/>
  <c r="B73" i="4"/>
  <c r="E72" i="4"/>
  <c r="D72" i="4"/>
  <c r="C72" i="4"/>
  <c r="B72" i="4"/>
  <c r="E71" i="4"/>
  <c r="D71" i="4"/>
  <c r="C71" i="4"/>
  <c r="B71" i="4"/>
  <c r="E70" i="4"/>
  <c r="D70" i="4"/>
  <c r="C70" i="4"/>
  <c r="B70" i="4"/>
  <c r="E69" i="4"/>
  <c r="D69" i="4"/>
  <c r="C69" i="4"/>
  <c r="B69" i="4"/>
  <c r="E68" i="4"/>
  <c r="D68" i="4"/>
  <c r="C68" i="4"/>
  <c r="B68" i="4"/>
  <c r="E67" i="4"/>
  <c r="D67" i="4"/>
  <c r="C67" i="4"/>
  <c r="B67" i="4"/>
  <c r="E66" i="4"/>
  <c r="D66" i="4"/>
  <c r="C66" i="4"/>
  <c r="B66" i="4"/>
  <c r="E65" i="4"/>
  <c r="D65" i="4"/>
  <c r="C65" i="4"/>
  <c r="B65" i="4"/>
  <c r="E64" i="4"/>
  <c r="D64" i="4"/>
  <c r="C64" i="4"/>
  <c r="B64" i="4"/>
  <c r="E63" i="4"/>
  <c r="D63" i="4"/>
  <c r="C63" i="4"/>
  <c r="B63" i="4"/>
  <c r="E62" i="4"/>
  <c r="D62" i="4"/>
  <c r="C62" i="4"/>
  <c r="B62" i="4"/>
  <c r="E61" i="4"/>
  <c r="D61" i="4"/>
  <c r="C61" i="4"/>
  <c r="B61" i="4"/>
  <c r="E60" i="4"/>
  <c r="D60" i="4"/>
  <c r="C60" i="4"/>
  <c r="B60" i="4"/>
  <c r="E59" i="4"/>
  <c r="D59" i="4"/>
  <c r="C59" i="4"/>
  <c r="B59" i="4"/>
  <c r="E58" i="4"/>
  <c r="D58" i="4"/>
  <c r="C58" i="4"/>
  <c r="B58" i="4"/>
  <c r="E57" i="4"/>
  <c r="D57" i="4"/>
  <c r="C57" i="4"/>
  <c r="B57" i="4"/>
  <c r="E56" i="4"/>
  <c r="D56" i="4"/>
  <c r="C56" i="4"/>
  <c r="B56" i="4"/>
  <c r="E55" i="4"/>
  <c r="D55" i="4"/>
  <c r="C55" i="4"/>
  <c r="B55" i="4"/>
  <c r="E54" i="4"/>
  <c r="D54" i="4"/>
  <c r="C54" i="4"/>
  <c r="B54" i="4"/>
  <c r="E53" i="4"/>
  <c r="D53" i="4"/>
  <c r="C53" i="4"/>
  <c r="B53" i="4"/>
  <c r="E52" i="4"/>
  <c r="D52" i="4"/>
  <c r="C52" i="4"/>
  <c r="B52" i="4"/>
  <c r="E51" i="4"/>
  <c r="D51" i="4"/>
  <c r="C51" i="4"/>
  <c r="B51" i="4"/>
  <c r="E50" i="4"/>
  <c r="D50" i="4"/>
  <c r="C50" i="4"/>
  <c r="B50" i="4"/>
  <c r="E49" i="4"/>
  <c r="D49" i="4"/>
  <c r="C49" i="4"/>
  <c r="B49" i="4"/>
  <c r="E48" i="4"/>
  <c r="D48" i="4"/>
  <c r="C48" i="4"/>
  <c r="B48" i="4"/>
  <c r="E47" i="4"/>
  <c r="D47" i="4"/>
  <c r="C47" i="4"/>
  <c r="B47" i="4"/>
  <c r="E46" i="4"/>
  <c r="D46" i="4"/>
  <c r="C46" i="4"/>
  <c r="B46" i="4"/>
  <c r="E45" i="4"/>
  <c r="D45" i="4"/>
  <c r="C45" i="4"/>
  <c r="B45" i="4"/>
  <c r="E44" i="4"/>
  <c r="D44" i="4"/>
  <c r="C44" i="4"/>
  <c r="B44" i="4"/>
  <c r="E43" i="4"/>
  <c r="D43" i="4"/>
  <c r="C43" i="4"/>
  <c r="B43" i="4"/>
  <c r="E42" i="4"/>
  <c r="D42" i="4"/>
  <c r="C42" i="4"/>
  <c r="B42" i="4"/>
  <c r="E41" i="4"/>
  <c r="D41" i="4"/>
  <c r="C41" i="4"/>
  <c r="B41" i="4"/>
  <c r="E40" i="4"/>
  <c r="D40" i="4"/>
  <c r="C40" i="4"/>
  <c r="B40" i="4"/>
  <c r="E39" i="4"/>
  <c r="D39" i="4"/>
  <c r="C39" i="4"/>
  <c r="B39" i="4"/>
  <c r="E38" i="4"/>
  <c r="D38" i="4"/>
  <c r="C38" i="4"/>
  <c r="B38" i="4"/>
  <c r="E37" i="4"/>
  <c r="D37" i="4"/>
  <c r="C37" i="4"/>
  <c r="B37" i="4"/>
  <c r="E36" i="4"/>
  <c r="D36" i="4"/>
  <c r="C36" i="4"/>
  <c r="B36" i="4"/>
  <c r="E35" i="4"/>
  <c r="D35" i="4"/>
  <c r="C35" i="4"/>
  <c r="B35" i="4"/>
  <c r="E34" i="4"/>
  <c r="D34" i="4"/>
  <c r="C34" i="4"/>
  <c r="B34" i="4"/>
  <c r="E33" i="4"/>
  <c r="D33" i="4"/>
  <c r="C33" i="4"/>
  <c r="B33" i="4"/>
  <c r="E32" i="4"/>
  <c r="D32" i="4"/>
  <c r="C32" i="4"/>
  <c r="B32" i="4"/>
  <c r="E31" i="4"/>
  <c r="D31" i="4"/>
  <c r="C31" i="4"/>
  <c r="B31" i="4"/>
  <c r="E30" i="4"/>
  <c r="D30" i="4"/>
  <c r="C30" i="4"/>
  <c r="B30" i="4"/>
  <c r="E29" i="4"/>
  <c r="D29" i="4"/>
  <c r="C29" i="4"/>
  <c r="B29" i="4"/>
  <c r="E28" i="4"/>
  <c r="D28" i="4"/>
  <c r="C28" i="4"/>
  <c r="B28" i="4"/>
  <c r="E27" i="4"/>
  <c r="D27" i="4"/>
  <c r="C27" i="4"/>
  <c r="B27" i="4"/>
  <c r="E26" i="4"/>
  <c r="D26" i="4"/>
  <c r="C26" i="4"/>
  <c r="B26" i="4"/>
  <c r="E25" i="4"/>
  <c r="D25" i="4"/>
  <c r="C25" i="4"/>
  <c r="B25" i="4"/>
  <c r="E24" i="4"/>
  <c r="D24" i="4"/>
  <c r="C24" i="4"/>
  <c r="B24" i="4"/>
  <c r="E23" i="4"/>
  <c r="D23" i="4"/>
  <c r="C23" i="4"/>
  <c r="B23" i="4"/>
  <c r="E22" i="4"/>
  <c r="D22" i="4"/>
  <c r="C22" i="4"/>
  <c r="B22" i="4"/>
  <c r="E21" i="4"/>
  <c r="D21" i="4"/>
  <c r="C21" i="4"/>
  <c r="B21" i="4"/>
  <c r="E20" i="4"/>
  <c r="D20" i="4"/>
  <c r="C20" i="4"/>
  <c r="B20" i="4"/>
  <c r="E19" i="4"/>
  <c r="D19" i="4"/>
  <c r="C19" i="4"/>
  <c r="B19" i="4"/>
  <c r="E18" i="4"/>
  <c r="D18" i="4"/>
  <c r="C18" i="4"/>
  <c r="B18" i="4"/>
  <c r="E17" i="4"/>
  <c r="D17" i="4"/>
  <c r="C17" i="4"/>
  <c r="B17" i="4"/>
  <c r="E16" i="4"/>
  <c r="D16" i="4"/>
  <c r="C16" i="4"/>
  <c r="B16" i="4"/>
  <c r="E15" i="4"/>
  <c r="D15" i="4"/>
  <c r="C15" i="4"/>
  <c r="B15" i="4"/>
  <c r="E14" i="4"/>
  <c r="D14" i="4"/>
  <c r="C14" i="4"/>
  <c r="B14" i="4"/>
  <c r="E13" i="4"/>
  <c r="D13" i="4"/>
  <c r="C13" i="4"/>
  <c r="B13" i="4"/>
  <c r="E12" i="4"/>
  <c r="D12" i="4"/>
  <c r="C12" i="4"/>
  <c r="B12" i="4"/>
  <c r="E11" i="4"/>
  <c r="D11" i="4"/>
  <c r="C11" i="4"/>
  <c r="B11" i="4"/>
  <c r="E10" i="4"/>
  <c r="D10" i="4"/>
  <c r="C10" i="4"/>
  <c r="B10" i="4"/>
  <c r="E9" i="4"/>
  <c r="D9" i="4"/>
  <c r="C9" i="4"/>
  <c r="B9" i="4"/>
  <c r="E8" i="4"/>
  <c r="D8" i="4"/>
  <c r="C8" i="4"/>
  <c r="B8" i="4"/>
  <c r="E7" i="4"/>
  <c r="D7" i="4"/>
  <c r="C7" i="4"/>
  <c r="B7" i="4"/>
  <c r="E6" i="4"/>
  <c r="D6" i="4"/>
  <c r="C6" i="4"/>
  <c r="B6" i="4"/>
  <c r="E5" i="4"/>
  <c r="D5" i="4"/>
  <c r="C5" i="4"/>
  <c r="B5" i="4"/>
  <c r="E4" i="4"/>
  <c r="D4" i="4"/>
  <c r="C4" i="4"/>
  <c r="B4" i="4"/>
  <c r="E3" i="4"/>
  <c r="D3" i="4"/>
  <c r="C3" i="4"/>
  <c r="B3" i="4"/>
  <c r="H97" i="3"/>
  <c r="G97" i="3"/>
  <c r="I97" i="3"/>
  <c r="G96" i="3"/>
  <c r="H96" i="3" s="1"/>
  <c r="D96" i="3"/>
  <c r="F96" i="3" s="1"/>
  <c r="G95" i="3"/>
  <c r="H95" i="3" s="1"/>
  <c r="D95" i="3"/>
  <c r="F95" i="3" s="1"/>
  <c r="I95" i="3"/>
  <c r="I94" i="3"/>
  <c r="G94" i="3"/>
  <c r="H94" i="3" s="1"/>
  <c r="D94" i="3"/>
  <c r="F94" i="3" s="1"/>
  <c r="G93" i="3"/>
  <c r="H93" i="3" s="1"/>
  <c r="I93" i="3"/>
  <c r="I92" i="3"/>
  <c r="G92" i="3"/>
  <c r="H92" i="3" s="1"/>
  <c r="D92" i="3"/>
  <c r="F92" i="3" s="1"/>
  <c r="G91" i="3"/>
  <c r="H91" i="3" s="1"/>
  <c r="D91" i="3"/>
  <c r="F91" i="3" s="1"/>
  <c r="I91" i="3"/>
  <c r="I90" i="3"/>
  <c r="G90" i="3"/>
  <c r="H90" i="3" s="1"/>
  <c r="D90" i="3"/>
  <c r="F90" i="3" s="1"/>
  <c r="G89" i="3"/>
  <c r="H89" i="3" s="1"/>
  <c r="I89" i="3"/>
  <c r="I88" i="3"/>
  <c r="G88" i="3"/>
  <c r="H88" i="3" s="1"/>
  <c r="D88" i="3"/>
  <c r="F88" i="3" s="1"/>
  <c r="G87" i="3"/>
  <c r="H87" i="3" s="1"/>
  <c r="D87" i="3"/>
  <c r="F87" i="3" s="1"/>
  <c r="I87" i="3"/>
  <c r="I86" i="3"/>
  <c r="G86" i="3"/>
  <c r="H86" i="3" s="1"/>
  <c r="D86" i="3"/>
  <c r="F86" i="3" s="1"/>
  <c r="G85" i="3"/>
  <c r="H85" i="3" s="1"/>
  <c r="I85" i="3"/>
  <c r="I84" i="3"/>
  <c r="G84" i="3"/>
  <c r="H84" i="3" s="1"/>
  <c r="D84" i="3"/>
  <c r="F84" i="3" s="1"/>
  <c r="G83" i="3"/>
  <c r="H83" i="3" s="1"/>
  <c r="D83" i="3"/>
  <c r="F83" i="3" s="1"/>
  <c r="I83" i="3"/>
  <c r="I82" i="3"/>
  <c r="G82" i="3"/>
  <c r="H82" i="3" s="1"/>
  <c r="D82" i="3"/>
  <c r="F82" i="3" s="1"/>
  <c r="G81" i="3"/>
  <c r="H81" i="3" s="1"/>
  <c r="I81" i="3"/>
  <c r="I80" i="3"/>
  <c r="G80" i="3"/>
  <c r="H80" i="3" s="1"/>
  <c r="D80" i="3"/>
  <c r="F80" i="3" s="1"/>
  <c r="G79" i="3"/>
  <c r="H79" i="3" s="1"/>
  <c r="D79" i="3"/>
  <c r="F79" i="3" s="1"/>
  <c r="I79" i="3"/>
  <c r="I78" i="3"/>
  <c r="G78" i="3"/>
  <c r="H78" i="3" s="1"/>
  <c r="D78" i="3"/>
  <c r="F78" i="3" s="1"/>
  <c r="G77" i="3"/>
  <c r="H77" i="3" s="1"/>
  <c r="I77" i="3"/>
  <c r="I76" i="3"/>
  <c r="G76" i="3"/>
  <c r="H76" i="3" s="1"/>
  <c r="D76" i="3"/>
  <c r="F76" i="3" s="1"/>
  <c r="G75" i="3"/>
  <c r="H75" i="3" s="1"/>
  <c r="D75" i="3"/>
  <c r="F75" i="3" s="1"/>
  <c r="I75" i="3"/>
  <c r="I74" i="3"/>
  <c r="G74" i="3"/>
  <c r="H74" i="3" s="1"/>
  <c r="D74" i="3"/>
  <c r="F74" i="3" s="1"/>
  <c r="G73" i="3"/>
  <c r="H73" i="3" s="1"/>
  <c r="I73" i="3"/>
  <c r="I72" i="3"/>
  <c r="G72" i="3"/>
  <c r="H72" i="3" s="1"/>
  <c r="D72" i="3"/>
  <c r="F72" i="3" s="1"/>
  <c r="G71" i="3"/>
  <c r="H71" i="3" s="1"/>
  <c r="D71" i="3"/>
  <c r="F71" i="3" s="1"/>
  <c r="I71" i="3"/>
  <c r="I70" i="3"/>
  <c r="G70" i="3"/>
  <c r="H70" i="3" s="1"/>
  <c r="D70" i="3"/>
  <c r="F70" i="3" s="1"/>
  <c r="G69" i="3"/>
  <c r="H69" i="3" s="1"/>
  <c r="I69" i="3"/>
  <c r="I68" i="3"/>
  <c r="G68" i="3"/>
  <c r="H68" i="3" s="1"/>
  <c r="D68" i="3"/>
  <c r="F68" i="3" s="1"/>
  <c r="G67" i="3"/>
  <c r="H67" i="3" s="1"/>
  <c r="D67" i="3"/>
  <c r="F67" i="3" s="1"/>
  <c r="I67" i="3"/>
  <c r="I66" i="3"/>
  <c r="G66" i="3"/>
  <c r="H66" i="3" s="1"/>
  <c r="D66" i="3"/>
  <c r="F66" i="3" s="1"/>
  <c r="G65" i="3"/>
  <c r="H65" i="3" s="1"/>
  <c r="I65" i="3"/>
  <c r="I64" i="3"/>
  <c r="G64" i="3"/>
  <c r="H64" i="3" s="1"/>
  <c r="D64" i="3"/>
  <c r="F64" i="3" s="1"/>
  <c r="G63" i="3"/>
  <c r="H63" i="3" s="1"/>
  <c r="D63" i="3"/>
  <c r="F63" i="3" s="1"/>
  <c r="I63" i="3"/>
  <c r="I62" i="3"/>
  <c r="G62" i="3"/>
  <c r="H62" i="3" s="1"/>
  <c r="D62" i="3"/>
  <c r="F62" i="3" s="1"/>
  <c r="G61" i="3"/>
  <c r="H61" i="3" s="1"/>
  <c r="I61" i="3"/>
  <c r="I60" i="3"/>
  <c r="G60" i="3"/>
  <c r="H60" i="3" s="1"/>
  <c r="D60" i="3"/>
  <c r="F60" i="3" s="1"/>
  <c r="G59" i="3"/>
  <c r="H59" i="3" s="1"/>
  <c r="D59" i="3"/>
  <c r="F59" i="3" s="1"/>
  <c r="I59" i="3"/>
  <c r="I58" i="3"/>
  <c r="G58" i="3"/>
  <c r="H58" i="3" s="1"/>
  <c r="D58" i="3"/>
  <c r="F58" i="3" s="1"/>
  <c r="G57" i="3"/>
  <c r="H57" i="3" s="1"/>
  <c r="I57" i="3"/>
  <c r="I56" i="3"/>
  <c r="G56" i="3"/>
  <c r="H56" i="3" s="1"/>
  <c r="D56" i="3"/>
  <c r="F56" i="3" s="1"/>
  <c r="G55" i="3"/>
  <c r="H55" i="3" s="1"/>
  <c r="D55" i="3"/>
  <c r="F55" i="3" s="1"/>
  <c r="I55" i="3"/>
  <c r="I54" i="3"/>
  <c r="G54" i="3"/>
  <c r="H54" i="3" s="1"/>
  <c r="D54" i="3"/>
  <c r="F54" i="3" s="1"/>
  <c r="G53" i="3"/>
  <c r="H53" i="3" s="1"/>
  <c r="I53" i="3"/>
  <c r="I52" i="3"/>
  <c r="G52" i="3"/>
  <c r="H52" i="3" s="1"/>
  <c r="D52" i="3"/>
  <c r="F52" i="3" s="1"/>
  <c r="G51" i="3"/>
  <c r="H51" i="3" s="1"/>
  <c r="D51" i="3"/>
  <c r="F51" i="3" s="1"/>
  <c r="I51" i="3"/>
  <c r="I50" i="3"/>
  <c r="G50" i="3"/>
  <c r="H50" i="3" s="1"/>
  <c r="D50" i="3"/>
  <c r="F50" i="3" s="1"/>
  <c r="G49" i="3"/>
  <c r="H49" i="3" s="1"/>
  <c r="I49" i="3"/>
  <c r="I48" i="3"/>
  <c r="G48" i="3"/>
  <c r="H48" i="3" s="1"/>
  <c r="D48" i="3"/>
  <c r="F48" i="3" s="1"/>
  <c r="G47" i="3"/>
  <c r="H47" i="3" s="1"/>
  <c r="D47" i="3"/>
  <c r="F47" i="3" s="1"/>
  <c r="I47" i="3"/>
  <c r="I46" i="3"/>
  <c r="G46" i="3"/>
  <c r="H46" i="3" s="1"/>
  <c r="D46" i="3"/>
  <c r="F46" i="3" s="1"/>
  <c r="G45" i="3"/>
  <c r="H45" i="3" s="1"/>
  <c r="I45" i="3"/>
  <c r="I44" i="3"/>
  <c r="G44" i="3"/>
  <c r="H44" i="3" s="1"/>
  <c r="D44" i="3"/>
  <c r="F44" i="3" s="1"/>
  <c r="G43" i="3"/>
  <c r="H43" i="3" s="1"/>
  <c r="D43" i="3"/>
  <c r="F43" i="3" s="1"/>
  <c r="I43" i="3"/>
  <c r="I42" i="3"/>
  <c r="G42" i="3"/>
  <c r="H42" i="3" s="1"/>
  <c r="D42" i="3"/>
  <c r="F42" i="3" s="1"/>
  <c r="G41" i="3"/>
  <c r="H41" i="3" s="1"/>
  <c r="I41" i="3"/>
  <c r="I40" i="3"/>
  <c r="G40" i="3"/>
  <c r="H40" i="3" s="1"/>
  <c r="D40" i="3"/>
  <c r="F40" i="3" s="1"/>
  <c r="G39" i="3"/>
  <c r="H39" i="3" s="1"/>
  <c r="D39" i="3"/>
  <c r="F39" i="3" s="1"/>
  <c r="I39" i="3"/>
  <c r="I38" i="3"/>
  <c r="G38" i="3"/>
  <c r="H38" i="3" s="1"/>
  <c r="D38" i="3"/>
  <c r="F38" i="3" s="1"/>
  <c r="I37" i="3"/>
  <c r="G37" i="3"/>
  <c r="H37" i="3" s="1"/>
  <c r="D37" i="3"/>
  <c r="F37" i="3" s="1"/>
  <c r="I36" i="3"/>
  <c r="G36" i="3"/>
  <c r="H36" i="3" s="1"/>
  <c r="D36" i="3"/>
  <c r="F36" i="3" s="1"/>
  <c r="G35" i="3"/>
  <c r="H35" i="3" s="1"/>
  <c r="D35" i="3"/>
  <c r="F35" i="3" s="1"/>
  <c r="I35" i="3"/>
  <c r="I34" i="3"/>
  <c r="G34" i="3"/>
  <c r="H34" i="3" s="1"/>
  <c r="D34" i="3"/>
  <c r="F34" i="3" s="1"/>
  <c r="I33" i="3"/>
  <c r="G33" i="3"/>
  <c r="H33" i="3" s="1"/>
  <c r="D33" i="3"/>
  <c r="F33" i="3" s="1"/>
  <c r="I32" i="3"/>
  <c r="G32" i="3"/>
  <c r="H32" i="3" s="1"/>
  <c r="D32" i="3"/>
  <c r="F32" i="3" s="1"/>
  <c r="G31" i="3"/>
  <c r="H31" i="3" s="1"/>
  <c r="D31" i="3"/>
  <c r="F31" i="3" s="1"/>
  <c r="I31" i="3"/>
  <c r="I30" i="3"/>
  <c r="G30" i="3"/>
  <c r="H30" i="3" s="1"/>
  <c r="D30" i="3"/>
  <c r="F30" i="3" s="1"/>
  <c r="I29" i="3"/>
  <c r="G29" i="3"/>
  <c r="H29" i="3" s="1"/>
  <c r="D29" i="3"/>
  <c r="F29" i="3" s="1"/>
  <c r="I28" i="3"/>
  <c r="G28" i="3"/>
  <c r="H28" i="3" s="1"/>
  <c r="D28" i="3"/>
  <c r="F28" i="3" s="1"/>
  <c r="G27" i="3"/>
  <c r="H27" i="3" s="1"/>
  <c r="D27" i="3"/>
  <c r="F27" i="3" s="1"/>
  <c r="I27" i="3"/>
  <c r="I26" i="3"/>
  <c r="G26" i="3"/>
  <c r="H26" i="3" s="1"/>
  <c r="D26" i="3"/>
  <c r="F26" i="3" s="1"/>
  <c r="I25" i="3"/>
  <c r="G25" i="3"/>
  <c r="H25" i="3" s="1"/>
  <c r="D25" i="3"/>
  <c r="F25" i="3" s="1"/>
  <c r="I24" i="3"/>
  <c r="G24" i="3"/>
  <c r="H24" i="3" s="1"/>
  <c r="D24" i="3"/>
  <c r="F24" i="3" s="1"/>
  <c r="G23" i="3"/>
  <c r="H23" i="3" s="1"/>
  <c r="D23" i="3"/>
  <c r="F23" i="3" s="1"/>
  <c r="I23" i="3"/>
  <c r="I22" i="3"/>
  <c r="G22" i="3"/>
  <c r="H22" i="3" s="1"/>
  <c r="D22" i="3"/>
  <c r="F22" i="3" s="1"/>
  <c r="I21" i="3"/>
  <c r="G21" i="3"/>
  <c r="H21" i="3" s="1"/>
  <c r="D21" i="3"/>
  <c r="F21" i="3" s="1"/>
  <c r="I20" i="3"/>
  <c r="G20" i="3"/>
  <c r="H20" i="3" s="1"/>
  <c r="D20" i="3"/>
  <c r="F20" i="3" s="1"/>
  <c r="G19" i="3"/>
  <c r="H19" i="3" s="1"/>
  <c r="D19" i="3"/>
  <c r="F19" i="3" s="1"/>
  <c r="I19" i="3"/>
  <c r="I18" i="3"/>
  <c r="G18" i="3"/>
  <c r="H18" i="3" s="1"/>
  <c r="D18" i="3"/>
  <c r="F18" i="3" s="1"/>
  <c r="I17" i="3"/>
  <c r="G17" i="3"/>
  <c r="H17" i="3" s="1"/>
  <c r="D17" i="3"/>
  <c r="F17" i="3" s="1"/>
  <c r="I16" i="3"/>
  <c r="G16" i="3"/>
  <c r="H16" i="3" s="1"/>
  <c r="D16" i="3"/>
  <c r="F16" i="3" s="1"/>
  <c r="G15" i="3"/>
  <c r="H15" i="3" s="1"/>
  <c r="D15" i="3"/>
  <c r="F15" i="3" s="1"/>
  <c r="I15" i="3"/>
  <c r="I14" i="3"/>
  <c r="G14" i="3"/>
  <c r="H14" i="3" s="1"/>
  <c r="D14" i="3"/>
  <c r="F14" i="3" s="1"/>
  <c r="I13" i="3"/>
  <c r="G13" i="3"/>
  <c r="H13" i="3" s="1"/>
  <c r="D13" i="3"/>
  <c r="F13" i="3" s="1"/>
  <c r="I12" i="3"/>
  <c r="G12" i="3"/>
  <c r="H12" i="3" s="1"/>
  <c r="D12" i="3"/>
  <c r="F12" i="3" s="1"/>
  <c r="G11" i="3"/>
  <c r="H11" i="3" s="1"/>
  <c r="D11" i="3"/>
  <c r="F11" i="3" s="1"/>
  <c r="I11" i="3"/>
  <c r="I10" i="3"/>
  <c r="G10" i="3"/>
  <c r="H10" i="3" s="1"/>
  <c r="D10" i="3"/>
  <c r="F10" i="3" s="1"/>
  <c r="I9" i="3"/>
  <c r="G9" i="3"/>
  <c r="H9" i="3" s="1"/>
  <c r="D9" i="3"/>
  <c r="F9" i="3" s="1"/>
  <c r="I8" i="3"/>
  <c r="G8" i="3"/>
  <c r="H8" i="3" s="1"/>
  <c r="D8" i="3"/>
  <c r="F8" i="3" s="1"/>
  <c r="G7" i="3"/>
  <c r="H7" i="3" s="1"/>
  <c r="D7" i="3"/>
  <c r="F7" i="3" s="1"/>
  <c r="I7" i="3"/>
  <c r="I6" i="3"/>
  <c r="G6" i="3"/>
  <c r="H6" i="3" s="1"/>
  <c r="D6" i="3"/>
  <c r="F6" i="3" s="1"/>
  <c r="I5" i="3"/>
  <c r="G5" i="3"/>
  <c r="H5" i="3" s="1"/>
  <c r="D5" i="3"/>
  <c r="F5" i="3" s="1"/>
  <c r="I4" i="3"/>
  <c r="G4" i="3"/>
  <c r="H4" i="3" s="1"/>
  <c r="D4" i="3"/>
  <c r="F4" i="3" s="1"/>
  <c r="G3" i="3"/>
  <c r="H3" i="3" s="1"/>
  <c r="D3" i="3"/>
  <c r="F3" i="3" s="1"/>
  <c r="I3" i="3"/>
  <c r="I2" i="3"/>
  <c r="G2" i="3"/>
  <c r="H2" i="3" s="1"/>
  <c r="D2" i="3"/>
  <c r="F2" i="3" s="1"/>
  <c r="I96" i="3" l="1"/>
  <c r="D41" i="3"/>
  <c r="F41" i="3" s="1"/>
  <c r="D45" i="3"/>
  <c r="F45" i="3" s="1"/>
  <c r="D49" i="3"/>
  <c r="F49" i="3" s="1"/>
  <c r="D53" i="3"/>
  <c r="F53" i="3" s="1"/>
  <c r="D57" i="3"/>
  <c r="F57" i="3" s="1"/>
  <c r="D61" i="3"/>
  <c r="F61" i="3" s="1"/>
  <c r="D65" i="3"/>
  <c r="F65" i="3" s="1"/>
  <c r="D69" i="3"/>
  <c r="F69" i="3" s="1"/>
  <c r="D73" i="3"/>
  <c r="F73" i="3" s="1"/>
  <c r="D77" i="3"/>
  <c r="F77" i="3" s="1"/>
  <c r="D81" i="3"/>
  <c r="F81" i="3" s="1"/>
  <c r="D85" i="3"/>
  <c r="F85" i="3" s="1"/>
  <c r="D89" i="3"/>
  <c r="F89" i="3" s="1"/>
  <c r="D93" i="3"/>
  <c r="F93" i="3" s="1"/>
  <c r="D97" i="3"/>
  <c r="F97" i="3" s="1"/>
  <c r="M26" i="2" l="1"/>
  <c r="L26" i="2"/>
  <c r="K26" i="2"/>
  <c r="J26" i="2"/>
  <c r="I26" i="2"/>
  <c r="H26" i="2"/>
  <c r="G26" i="2"/>
  <c r="F26" i="2"/>
  <c r="E26" i="2"/>
  <c r="D26" i="2"/>
  <c r="C26" i="2"/>
  <c r="B26" i="2"/>
  <c r="M25" i="2"/>
  <c r="L25" i="2"/>
  <c r="K25" i="2"/>
  <c r="J25" i="2"/>
  <c r="I25" i="2"/>
  <c r="H25" i="2"/>
  <c r="G25" i="2"/>
  <c r="F25" i="2"/>
  <c r="E25" i="2"/>
  <c r="D25" i="2"/>
  <c r="C25" i="2"/>
  <c r="B25" i="2"/>
  <c r="M24" i="2"/>
  <c r="L24" i="2"/>
  <c r="K24" i="2"/>
  <c r="J24" i="2"/>
  <c r="I24" i="2"/>
  <c r="H24" i="2"/>
  <c r="G24" i="2"/>
  <c r="F24" i="2"/>
  <c r="E24" i="2"/>
  <c r="D24" i="2"/>
  <c r="C24" i="2"/>
  <c r="B24" i="2"/>
  <c r="M23" i="2"/>
  <c r="L23" i="2"/>
  <c r="K23" i="2"/>
  <c r="J23" i="2"/>
  <c r="I23" i="2"/>
  <c r="H23" i="2"/>
  <c r="G23" i="2"/>
  <c r="F23" i="2"/>
  <c r="E23" i="2"/>
  <c r="D23" i="2"/>
  <c r="C23" i="2"/>
  <c r="B23" i="2"/>
  <c r="M22" i="2"/>
  <c r="L22" i="2"/>
  <c r="K22" i="2"/>
  <c r="J22" i="2"/>
  <c r="I22" i="2"/>
  <c r="H22" i="2"/>
  <c r="G22" i="2"/>
  <c r="F22" i="2"/>
  <c r="E22" i="2"/>
  <c r="D22" i="2"/>
  <c r="C22" i="2"/>
  <c r="B22" i="2"/>
  <c r="M21" i="2"/>
  <c r="L21" i="2"/>
  <c r="K21" i="2"/>
  <c r="J21" i="2"/>
  <c r="I21" i="2"/>
  <c r="H21" i="2"/>
  <c r="G21" i="2"/>
  <c r="F21" i="2"/>
  <c r="E21" i="2"/>
  <c r="D21" i="2"/>
  <c r="C21" i="2"/>
  <c r="B21" i="2"/>
  <c r="M20" i="2"/>
  <c r="L20" i="2"/>
  <c r="K20" i="2"/>
  <c r="J20" i="2"/>
  <c r="I20" i="2"/>
  <c r="H20" i="2"/>
  <c r="G20" i="2"/>
  <c r="F20" i="2"/>
  <c r="E20" i="2"/>
  <c r="D20" i="2"/>
  <c r="C20" i="2"/>
  <c r="B20" i="2"/>
  <c r="M19" i="2"/>
  <c r="L19" i="2"/>
  <c r="K19" i="2"/>
  <c r="J19" i="2"/>
  <c r="I19" i="2"/>
  <c r="H19" i="2"/>
  <c r="G19" i="2"/>
  <c r="F19" i="2"/>
  <c r="E19" i="2"/>
  <c r="D19" i="2"/>
  <c r="C19" i="2"/>
  <c r="B19" i="2"/>
  <c r="M18" i="2"/>
  <c r="L18" i="2"/>
  <c r="K18" i="2"/>
  <c r="J18" i="2"/>
  <c r="I18" i="2"/>
  <c r="H18" i="2"/>
  <c r="G18" i="2"/>
  <c r="F18" i="2"/>
  <c r="E18" i="2"/>
  <c r="D18" i="2"/>
  <c r="C18" i="2"/>
  <c r="B18" i="2"/>
  <c r="M17" i="2"/>
  <c r="L17" i="2"/>
  <c r="K17" i="2"/>
  <c r="J17" i="2"/>
  <c r="I17" i="2"/>
  <c r="H17" i="2"/>
  <c r="G17" i="2"/>
  <c r="F17" i="2"/>
  <c r="E17" i="2"/>
  <c r="D17" i="2"/>
  <c r="C17" i="2"/>
  <c r="B17" i="2"/>
  <c r="M16" i="2"/>
  <c r="L16" i="2"/>
  <c r="K16" i="2"/>
  <c r="J16" i="2"/>
  <c r="I16" i="2"/>
  <c r="H16" i="2"/>
  <c r="G16" i="2"/>
  <c r="F16" i="2"/>
  <c r="E16" i="2"/>
  <c r="D16" i="2"/>
  <c r="C16" i="2"/>
  <c r="B16" i="2"/>
  <c r="M15" i="2"/>
  <c r="L15" i="2"/>
  <c r="K15" i="2"/>
  <c r="J15" i="2"/>
  <c r="I15" i="2"/>
  <c r="H15" i="2"/>
  <c r="G15" i="2"/>
  <c r="F15" i="2"/>
  <c r="E15" i="2"/>
  <c r="D15" i="2"/>
  <c r="C15" i="2"/>
  <c r="B15" i="2"/>
  <c r="M14" i="2"/>
  <c r="L14" i="2"/>
  <c r="K14" i="2"/>
  <c r="J14" i="2"/>
  <c r="I14" i="2"/>
  <c r="H14" i="2"/>
  <c r="G14" i="2"/>
  <c r="F14" i="2"/>
  <c r="E14" i="2"/>
  <c r="D14" i="2"/>
  <c r="C14" i="2"/>
  <c r="B14" i="2"/>
  <c r="M13" i="2"/>
  <c r="L13" i="2"/>
  <c r="K13" i="2"/>
  <c r="J13" i="2"/>
  <c r="I13" i="2"/>
  <c r="H13" i="2"/>
  <c r="G13" i="2"/>
  <c r="F13" i="2"/>
  <c r="E13" i="2"/>
  <c r="D13" i="2"/>
  <c r="C13" i="2"/>
  <c r="B13" i="2"/>
  <c r="M12" i="2"/>
  <c r="L12" i="2"/>
  <c r="K12" i="2"/>
  <c r="J12" i="2"/>
  <c r="I12" i="2"/>
  <c r="H12" i="2"/>
  <c r="G12" i="2"/>
  <c r="F12" i="2"/>
  <c r="E12" i="2"/>
  <c r="D12" i="2"/>
  <c r="C12" i="2"/>
  <c r="B12" i="2"/>
  <c r="M11" i="2"/>
  <c r="L11" i="2"/>
  <c r="K11" i="2"/>
  <c r="J11" i="2"/>
  <c r="I11" i="2"/>
  <c r="H11" i="2"/>
  <c r="G11" i="2"/>
  <c r="F11" i="2"/>
  <c r="E11" i="2"/>
  <c r="D11" i="2"/>
  <c r="C11" i="2"/>
  <c r="B11" i="2"/>
  <c r="M10" i="2"/>
  <c r="L10" i="2"/>
  <c r="K10" i="2"/>
  <c r="J10" i="2"/>
  <c r="I10" i="2"/>
  <c r="H10" i="2"/>
  <c r="G10" i="2"/>
  <c r="F10" i="2"/>
  <c r="E10" i="2"/>
  <c r="D10" i="2"/>
  <c r="C10" i="2"/>
  <c r="B10" i="2"/>
  <c r="M9" i="2"/>
  <c r="L9" i="2"/>
  <c r="K9" i="2"/>
  <c r="J9" i="2"/>
  <c r="I9" i="2"/>
  <c r="H9" i="2"/>
  <c r="G9" i="2"/>
  <c r="F9" i="2"/>
  <c r="E9" i="2"/>
  <c r="D9" i="2"/>
  <c r="C9" i="2"/>
  <c r="B9" i="2"/>
  <c r="M8" i="2"/>
  <c r="L8" i="2"/>
  <c r="K8" i="2"/>
  <c r="J8" i="2"/>
  <c r="I8" i="2"/>
  <c r="H8" i="2"/>
  <c r="G8" i="2"/>
  <c r="F8" i="2"/>
  <c r="E8" i="2"/>
  <c r="D8" i="2"/>
  <c r="C8" i="2"/>
  <c r="B8" i="2"/>
  <c r="M7" i="2"/>
  <c r="L7" i="2"/>
  <c r="K7" i="2"/>
  <c r="J7" i="2"/>
  <c r="I7" i="2"/>
  <c r="H7" i="2"/>
  <c r="G7" i="2"/>
  <c r="F7" i="2"/>
  <c r="E7" i="2"/>
  <c r="D7" i="2"/>
  <c r="C7" i="2"/>
  <c r="B7" i="2"/>
  <c r="M6" i="2"/>
  <c r="L6" i="2"/>
  <c r="K6" i="2"/>
  <c r="J6" i="2"/>
  <c r="I6" i="2"/>
  <c r="H6" i="2"/>
  <c r="G6" i="2"/>
  <c r="F6" i="2"/>
  <c r="E6" i="2"/>
  <c r="D6" i="2"/>
  <c r="C6" i="2"/>
  <c r="B6" i="2"/>
  <c r="M5" i="2"/>
  <c r="L5" i="2"/>
  <c r="K5" i="2"/>
  <c r="J5" i="2"/>
  <c r="I5" i="2"/>
  <c r="H5" i="2"/>
  <c r="G5" i="2"/>
  <c r="F5" i="2"/>
  <c r="E5" i="2"/>
  <c r="D5" i="2"/>
  <c r="C5" i="2"/>
  <c r="B5" i="2"/>
  <c r="M4" i="2"/>
  <c r="L4" i="2"/>
  <c r="K4" i="2"/>
  <c r="J4" i="2"/>
  <c r="I4" i="2"/>
  <c r="H4" i="2"/>
  <c r="G4" i="2"/>
  <c r="F4" i="2"/>
  <c r="E4" i="2"/>
  <c r="D4" i="2"/>
  <c r="C4" i="2"/>
  <c r="B4" i="2"/>
  <c r="M3" i="2"/>
  <c r="L3" i="2"/>
  <c r="K3" i="2"/>
  <c r="J3" i="2"/>
  <c r="I3" i="2"/>
  <c r="H3" i="2"/>
  <c r="G3" i="2"/>
  <c r="F3" i="2"/>
  <c r="E3" i="2"/>
  <c r="D3" i="2"/>
  <c r="C3" i="2"/>
  <c r="G1" i="2"/>
</calcChain>
</file>

<file path=xl/sharedStrings.xml><?xml version="1.0" encoding="utf-8"?>
<sst xmlns="http://schemas.openxmlformats.org/spreadsheetml/2006/main" count="2163" uniqueCount="837">
  <si>
    <t>Plate 4</t>
  </si>
  <si>
    <t>A</t>
  </si>
  <si>
    <t>B</t>
  </si>
  <si>
    <t>C</t>
  </si>
  <si>
    <t>D</t>
  </si>
  <si>
    <t>E</t>
  </si>
  <si>
    <t>F</t>
  </si>
  <si>
    <t>G</t>
  </si>
  <si>
    <t>H</t>
  </si>
  <si>
    <t>File Name</t>
  </si>
  <si>
    <t>Sample Name</t>
  </si>
  <si>
    <t>Date</t>
  </si>
  <si>
    <t>Barcode Plate Name:</t>
  </si>
  <si>
    <t>Lib_Plate</t>
  </si>
  <si>
    <t>job number</t>
  </si>
  <si>
    <t>sample name</t>
  </si>
  <si>
    <t>barcode well</t>
  </si>
  <si>
    <t>Plate 4 Well</t>
  </si>
  <si>
    <t>Job Number</t>
  </si>
  <si>
    <t>RNA Sample Concentration (ng/uL)</t>
  </si>
  <si>
    <t>Volume of RNA Sample Used (ul)</t>
  </si>
  <si>
    <t>RNA for prep (ng)</t>
  </si>
  <si>
    <t>Volume of Water Needed (uL)</t>
  </si>
  <si>
    <t>Total Volume</t>
  </si>
  <si>
    <t>TagSeq Index Plate 4 Well</t>
  </si>
  <si>
    <t>Notes</t>
  </si>
  <si>
    <t>A1</t>
  </si>
  <si>
    <t>B1</t>
  </si>
  <si>
    <t>C1</t>
  </si>
  <si>
    <t>D1</t>
  </si>
  <si>
    <t>E1</t>
  </si>
  <si>
    <t>F1</t>
  </si>
  <si>
    <t>G1</t>
  </si>
  <si>
    <t>H1</t>
  </si>
  <si>
    <t>A2</t>
  </si>
  <si>
    <t>B2</t>
  </si>
  <si>
    <t>C2</t>
  </si>
  <si>
    <t>D2</t>
  </si>
  <si>
    <t>E2</t>
  </si>
  <si>
    <t>F2</t>
  </si>
  <si>
    <t>G2</t>
  </si>
  <si>
    <t>H2</t>
  </si>
  <si>
    <t>A3</t>
  </si>
  <si>
    <t>B3</t>
  </si>
  <si>
    <t>C3</t>
  </si>
  <si>
    <t>D3</t>
  </si>
  <si>
    <t>E3</t>
  </si>
  <si>
    <t>F3</t>
  </si>
  <si>
    <t>G3</t>
  </si>
  <si>
    <t>H3</t>
  </si>
  <si>
    <t>A4</t>
  </si>
  <si>
    <t>B4</t>
  </si>
  <si>
    <t>C4</t>
  </si>
  <si>
    <t>D4</t>
  </si>
  <si>
    <t>E4</t>
  </si>
  <si>
    <t>F4</t>
  </si>
  <si>
    <t>G4</t>
  </si>
  <si>
    <t>H4</t>
  </si>
  <si>
    <t>A5</t>
  </si>
  <si>
    <t>B5</t>
  </si>
  <si>
    <t>C5</t>
  </si>
  <si>
    <t>D5</t>
  </si>
  <si>
    <t>E5</t>
  </si>
  <si>
    <t>F5</t>
  </si>
  <si>
    <t>G5</t>
  </si>
  <si>
    <t>H5</t>
  </si>
  <si>
    <t>A6</t>
  </si>
  <si>
    <t>B6</t>
  </si>
  <si>
    <t>C6</t>
  </si>
  <si>
    <t>D6</t>
  </si>
  <si>
    <t>E6</t>
  </si>
  <si>
    <t>F6</t>
  </si>
  <si>
    <t>G6</t>
  </si>
  <si>
    <t>H6</t>
  </si>
  <si>
    <t>A7</t>
  </si>
  <si>
    <t>B7</t>
  </si>
  <si>
    <t>C7</t>
  </si>
  <si>
    <t>D7</t>
  </si>
  <si>
    <t>E7</t>
  </si>
  <si>
    <t>F7</t>
  </si>
  <si>
    <t>G7</t>
  </si>
  <si>
    <t>H7</t>
  </si>
  <si>
    <t>A8</t>
  </si>
  <si>
    <t>B8</t>
  </si>
  <si>
    <t>C8</t>
  </si>
  <si>
    <t>D8</t>
  </si>
  <si>
    <t>E8</t>
  </si>
  <si>
    <t>F8</t>
  </si>
  <si>
    <t>G8</t>
  </si>
  <si>
    <t>H8</t>
  </si>
  <si>
    <t>A9</t>
  </si>
  <si>
    <t>B9</t>
  </si>
  <si>
    <t>C9</t>
  </si>
  <si>
    <t>D9</t>
  </si>
  <si>
    <t>E9</t>
  </si>
  <si>
    <t>F9</t>
  </si>
  <si>
    <t>G9</t>
  </si>
  <si>
    <t>H9</t>
  </si>
  <si>
    <t>A10</t>
  </si>
  <si>
    <t>B10</t>
  </si>
  <si>
    <t>C10</t>
  </si>
  <si>
    <t>D10</t>
  </si>
  <si>
    <t>E10</t>
  </si>
  <si>
    <t>F10</t>
  </si>
  <si>
    <t>G10</t>
  </si>
  <si>
    <t>H10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</si>
  <si>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</si>
  <si>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</si>
  <si>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</si>
  <si>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</si>
  <si>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</si>
  <si>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</si>
  <si>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</si>
  <si>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</si>
  <si>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</si>
  <si>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</si>
  <si>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</si>
  <si>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</si>
  <si>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</si>
  <si>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</si>
  <si>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</si>
  <si>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</si>
  <si>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Well</t>
  </si>
  <si>
    <t>i5 Index</t>
  </si>
  <si>
    <t>i7 Index</t>
  </si>
  <si>
    <t>A01</t>
  </si>
  <si>
    <t>B01</t>
  </si>
  <si>
    <t>C01</t>
  </si>
  <si>
    <t>D01</t>
  </si>
  <si>
    <t>E01</t>
  </si>
  <si>
    <t>F01</t>
  </si>
  <si>
    <t>G01</t>
  </si>
  <si>
    <t>H01</t>
  </si>
  <si>
    <t>A02</t>
  </si>
  <si>
    <t>B02</t>
  </si>
  <si>
    <t>C02</t>
  </si>
  <si>
    <t>D02</t>
  </si>
  <si>
    <t>E02</t>
  </si>
  <si>
    <t>F02</t>
  </si>
  <si>
    <t>G02</t>
  </si>
  <si>
    <t>H02</t>
  </si>
  <si>
    <t>A03</t>
  </si>
  <si>
    <t>B03</t>
  </si>
  <si>
    <t>C03</t>
  </si>
  <si>
    <t>D03</t>
  </si>
  <si>
    <t>E03</t>
  </si>
  <si>
    <t>F03</t>
  </si>
  <si>
    <t>G03</t>
  </si>
  <si>
    <t>H03</t>
  </si>
  <si>
    <t>A04</t>
  </si>
  <si>
    <t>B04</t>
  </si>
  <si>
    <t>C04</t>
  </si>
  <si>
    <t>D04</t>
  </si>
  <si>
    <t>E04</t>
  </si>
  <si>
    <t>F04</t>
  </si>
  <si>
    <t>G04</t>
  </si>
  <si>
    <t>H04</t>
  </si>
  <si>
    <t>A05</t>
  </si>
  <si>
    <t>B05</t>
  </si>
  <si>
    <t>C05</t>
  </si>
  <si>
    <t>D05</t>
  </si>
  <si>
    <t>E05</t>
  </si>
  <si>
    <t>F05</t>
  </si>
  <si>
    <t>G05</t>
  </si>
  <si>
    <t>H05</t>
  </si>
  <si>
    <t>A06</t>
  </si>
  <si>
    <t>B06</t>
  </si>
  <si>
    <t>C06</t>
  </si>
  <si>
    <t>D06</t>
  </si>
  <si>
    <t>E06</t>
  </si>
  <si>
    <t>F06</t>
  </si>
  <si>
    <t>G06</t>
  </si>
  <si>
    <t>H06</t>
  </si>
  <si>
    <t>A07</t>
  </si>
  <si>
    <t>B07</t>
  </si>
  <si>
    <t>C07</t>
  </si>
  <si>
    <t>D07</t>
  </si>
  <si>
    <t>E07</t>
  </si>
  <si>
    <t>F07</t>
  </si>
  <si>
    <t>G07</t>
  </si>
  <si>
    <t>H07</t>
  </si>
  <si>
    <t>A08</t>
  </si>
  <si>
    <t>B08</t>
  </si>
  <si>
    <t>C08</t>
  </si>
  <si>
    <t>D08</t>
  </si>
  <si>
    <t>E08</t>
  </si>
  <si>
    <t>F08</t>
  </si>
  <si>
    <t>G08</t>
  </si>
  <si>
    <t>H08</t>
  </si>
  <si>
    <t>A09</t>
  </si>
  <si>
    <t>B09</t>
  </si>
  <si>
    <t>C09</t>
  </si>
  <si>
    <t>D09</t>
  </si>
  <si>
    <t>E09</t>
  </si>
  <si>
    <t>F09</t>
  </si>
  <si>
    <t>G09</t>
  </si>
  <si>
    <t>H09</t>
  </si>
  <si>
    <t>Plate 1</t>
  </si>
  <si>
    <t>i5</t>
  </si>
  <si>
    <t>i7</t>
  </si>
  <si>
    <t>Plate 2</t>
  </si>
  <si>
    <t>Plate 3</t>
  </si>
  <si>
    <t>UDI Index Plate 1</t>
  </si>
  <si>
    <t>ATCACG</t>
  </si>
  <si>
    <t>GAGTGG</t>
  </si>
  <si>
    <t>ACATCG</t>
  </si>
  <si>
    <t>TSBC01/UTBC54</t>
  </si>
  <si>
    <t>GATACA</t>
  </si>
  <si>
    <t>TAGCTT</t>
  </si>
  <si>
    <t>IDT UMI1</t>
  </si>
  <si>
    <t>ATATGCGC</t>
  </si>
  <si>
    <t>CTGATCGT</t>
  </si>
  <si>
    <t>GGTAGC</t>
  </si>
  <si>
    <t>TSBC04/UTBC54</t>
  </si>
  <si>
    <t>TGACCA</t>
  </si>
  <si>
    <t>CGATGT</t>
  </si>
  <si>
    <t>IDT UMI2</t>
  </si>
  <si>
    <t>TGGTACAG</t>
  </si>
  <si>
    <t>ACTCTCGA</t>
  </si>
  <si>
    <t>ACTGAT</t>
  </si>
  <si>
    <t>TSBC07/UTBC54</t>
  </si>
  <si>
    <t>CAGATC</t>
  </si>
  <si>
    <t>TTAGGC</t>
  </si>
  <si>
    <t>IDT UMI3</t>
  </si>
  <si>
    <t>AACCGTTC</t>
  </si>
  <si>
    <t>TGAGCTAG</t>
  </si>
  <si>
    <t>ATGAGC</t>
  </si>
  <si>
    <t>TSBC12/UTBC54</t>
  </si>
  <si>
    <t>CTTGTA</t>
  </si>
  <si>
    <t>IDT UMI4</t>
  </si>
  <si>
    <t>TAACCGGT</t>
  </si>
  <si>
    <t>GAGACGAT</t>
  </si>
  <si>
    <t>ATTCCT</t>
  </si>
  <si>
    <t>TSBC02/UTBC54</t>
  </si>
  <si>
    <t>GCCAAT</t>
  </si>
  <si>
    <t>IDT UMI5</t>
  </si>
  <si>
    <t>GAACATCG</t>
  </si>
  <si>
    <t>CTTGTCGA</t>
  </si>
  <si>
    <t>CAAAAG</t>
  </si>
  <si>
    <t>TSBC03/UTBC54</t>
  </si>
  <si>
    <t>ACTTGA</t>
  </si>
  <si>
    <t>IDT UMI6</t>
  </si>
  <si>
    <t>CCTTGTAG</t>
  </si>
  <si>
    <t>TTCCAAGG</t>
  </si>
  <si>
    <t>CAACTA</t>
  </si>
  <si>
    <t>TSBC08/UTBC54</t>
  </si>
  <si>
    <t>IDT UMI7</t>
  </si>
  <si>
    <t>TCAGGCTT</t>
  </si>
  <si>
    <t>CGCATGAT</t>
  </si>
  <si>
    <t>CACCGG</t>
  </si>
  <si>
    <t>TSBC09/UTBC54</t>
  </si>
  <si>
    <t>GATCAG</t>
  </si>
  <si>
    <t>IDT UMI8</t>
  </si>
  <si>
    <t>GTTCTCGT</t>
  </si>
  <si>
    <t>ACGGAACA</t>
  </si>
  <si>
    <t>CACGAT</t>
  </si>
  <si>
    <t>TSBC01/UTBC66</t>
  </si>
  <si>
    <t>ACCGGC</t>
  </si>
  <si>
    <t>AGTCAA</t>
  </si>
  <si>
    <t>IDT UMI9</t>
  </si>
  <si>
    <t>AGAACGAG</t>
  </si>
  <si>
    <t>CGGCTAAT</t>
  </si>
  <si>
    <t>CACTCA</t>
  </si>
  <si>
    <t>TSBC04/UTBC66</t>
  </si>
  <si>
    <t>IDT UMI10</t>
  </si>
  <si>
    <t>TGCTTCCA</t>
  </si>
  <si>
    <t>ATCGATCG</t>
  </si>
  <si>
    <t>CAGGCG</t>
  </si>
  <si>
    <t>TSBC07/UTBC66</t>
  </si>
  <si>
    <t>IDT UMI11</t>
  </si>
  <si>
    <t>CTTCGACT</t>
  </si>
  <si>
    <t>GCAAGATC</t>
  </si>
  <si>
    <t>CATGGC</t>
  </si>
  <si>
    <t>TSBC12/UTBC66</t>
  </si>
  <si>
    <t>IDT UMI12</t>
  </si>
  <si>
    <t>CACCTGTT</t>
  </si>
  <si>
    <t>GCTATCCT</t>
  </si>
  <si>
    <t>CATTTT</t>
  </si>
  <si>
    <t>TSBC02/UTBC66</t>
  </si>
  <si>
    <t>IDT UMI13</t>
  </si>
  <si>
    <t>ATCACACG</t>
  </si>
  <si>
    <t>TACGCTAC</t>
  </si>
  <si>
    <t>CCAACA</t>
  </si>
  <si>
    <t>TSBC03/UTBC66</t>
  </si>
  <si>
    <t>IDT UMI14</t>
  </si>
  <si>
    <t>CCGTAAGA</t>
  </si>
  <si>
    <t>TGGACTCT</t>
  </si>
  <si>
    <t>CGGAAT</t>
  </si>
  <si>
    <t>TSBC08/UTBC66</t>
  </si>
  <si>
    <t>IDT UMI15</t>
  </si>
  <si>
    <t>TACGCCTT</t>
  </si>
  <si>
    <t>AGAGTAGC</t>
  </si>
  <si>
    <t>CCGCGT</t>
  </si>
  <si>
    <t>TSBC09/UTBC66</t>
  </si>
  <si>
    <t>IDT UMI16</t>
  </si>
  <si>
    <t>CGACGTTA</t>
  </si>
  <si>
    <t>ATCCAGAG</t>
  </si>
  <si>
    <t>GTGAAA</t>
  </si>
  <si>
    <t>TSBC01/UTBC67</t>
  </si>
  <si>
    <t>TTACTG</t>
  </si>
  <si>
    <t>CCGTCC</t>
  </si>
  <si>
    <t>IDT UMI17</t>
  </si>
  <si>
    <t>ATGCACGA</t>
  </si>
  <si>
    <t>GACGATCT</t>
  </si>
  <si>
    <t>GTGGCC</t>
  </si>
  <si>
    <t>TSBC04/UTBC67</t>
  </si>
  <si>
    <t>IDT UMI18</t>
  </si>
  <si>
    <t>CCTGATTG</t>
  </si>
  <si>
    <t>AACTGAGC</t>
  </si>
  <si>
    <t>GTTTCG</t>
  </si>
  <si>
    <t>TSBC07/UTBC67</t>
  </si>
  <si>
    <t>IDT UMI19</t>
  </si>
  <si>
    <t>GTAGGAGT</t>
  </si>
  <si>
    <t>CTTAGGAC</t>
  </si>
  <si>
    <t>GGTACG</t>
  </si>
  <si>
    <t>TSBC12/UTBC67</t>
  </si>
  <si>
    <t>IDT UMI20</t>
  </si>
  <si>
    <t>ACTAGGAG</t>
  </si>
  <si>
    <t>GTGCCATA</t>
  </si>
  <si>
    <t>TSBC02/UTBC67</t>
  </si>
  <si>
    <t>IDT UMI21</t>
  </si>
  <si>
    <t>CACTAGCT</t>
  </si>
  <si>
    <t>GAATCCGA</t>
  </si>
  <si>
    <t>TSBC03/UTBC67</t>
  </si>
  <si>
    <t>IDT UMI22</t>
  </si>
  <si>
    <t>ACGACTTG</t>
  </si>
  <si>
    <t>TCGCTGTT</t>
  </si>
  <si>
    <t>TSBC08/UTBC67</t>
  </si>
  <si>
    <t>IDT UMI23</t>
  </si>
  <si>
    <t>CGTGTGTA</t>
  </si>
  <si>
    <t>TTCGTTGG</t>
  </si>
  <si>
    <t>TSBC09/UTBC67</t>
  </si>
  <si>
    <t>IDT UMI24</t>
  </si>
  <si>
    <t>GTTGACCT</t>
  </si>
  <si>
    <t>AAGCACTG</t>
  </si>
  <si>
    <t>GCCTAA</t>
  </si>
  <si>
    <t>TSBC01/UTBC89</t>
  </si>
  <si>
    <t>TCACAT</t>
  </si>
  <si>
    <t>GTAGAG</t>
  </si>
  <si>
    <t>IDT UMI25</t>
  </si>
  <si>
    <t>ACTCCATC</t>
  </si>
  <si>
    <t>CCTTGATC</t>
  </si>
  <si>
    <t>TSBC04/UTBC89</t>
  </si>
  <si>
    <t>IDT UMI26</t>
  </si>
  <si>
    <t>CAATGTGG</t>
  </si>
  <si>
    <t>GTCGAAGA</t>
  </si>
  <si>
    <t>TSBC07/UTBC89</t>
  </si>
  <si>
    <t>IDT UMI27</t>
  </si>
  <si>
    <t>TTGCAGAC</t>
  </si>
  <si>
    <t>ACCACGAT</t>
  </si>
  <si>
    <t>TSBC12/UTBC89</t>
  </si>
  <si>
    <t>IDT UMI28</t>
  </si>
  <si>
    <t>CAGTCCAA</t>
  </si>
  <si>
    <t>GATTACCG</t>
  </si>
  <si>
    <t>TSBC02/UTBC89</t>
  </si>
  <si>
    <t>IDT UMI29</t>
  </si>
  <si>
    <t>ACGTTCAG</t>
  </si>
  <si>
    <t>GCACAACT</t>
  </si>
  <si>
    <t>TSBC03/UTBC89</t>
  </si>
  <si>
    <t>IDT UMI30</t>
  </si>
  <si>
    <t>AACGTCTG</t>
  </si>
  <si>
    <t>GCGTCATT</t>
  </si>
  <si>
    <t>TSBC08/UTBC89</t>
  </si>
  <si>
    <t>IDT UMI31</t>
  </si>
  <si>
    <t>TATCGGTC</t>
  </si>
  <si>
    <t>ATCCGGTA</t>
  </si>
  <si>
    <t>TSBC09/UTBC89</t>
  </si>
  <si>
    <t>IDT UMI32</t>
  </si>
  <si>
    <t>CGCTCTAT</t>
  </si>
  <si>
    <t>CGTTGCAA</t>
  </si>
  <si>
    <t>TSBC01/UTBC58</t>
  </si>
  <si>
    <t>CGGTTA</t>
  </si>
  <si>
    <t>TATAAT</t>
  </si>
  <si>
    <t>IDT UMI33</t>
  </si>
  <si>
    <t>GATTGCTC</t>
  </si>
  <si>
    <t>GTGAAGTG</t>
  </si>
  <si>
    <t>TSBC04/UTBC58</t>
  </si>
  <si>
    <t>IDT UMI34</t>
  </si>
  <si>
    <t>GATGTGTG</t>
  </si>
  <si>
    <t>CATGGCTA</t>
  </si>
  <si>
    <t>TSBC07/UTBC58</t>
  </si>
  <si>
    <t>IDT UMI35</t>
  </si>
  <si>
    <t>CGCAATCT</t>
  </si>
  <si>
    <t>ATGCCTGT</t>
  </si>
  <si>
    <t>TSBC12/UTBC58</t>
  </si>
  <si>
    <t>IDT UMI36</t>
  </si>
  <si>
    <t>TGGTAGCT</t>
  </si>
  <si>
    <t>CAACACCT</t>
  </si>
  <si>
    <t>TSBC02/UTBC58</t>
  </si>
  <si>
    <t>IDT UMI37</t>
  </si>
  <si>
    <t>GATAGGCT</t>
  </si>
  <si>
    <t>TGTGACTG</t>
  </si>
  <si>
    <t>TSBC03/UTBC58</t>
  </si>
  <si>
    <t>IDT UMI38</t>
  </si>
  <si>
    <t>AGTGGATC</t>
  </si>
  <si>
    <t>GTCATCGA</t>
  </si>
  <si>
    <t>TSBC08/UTBC58</t>
  </si>
  <si>
    <t>IDT UMI39</t>
  </si>
  <si>
    <t>TTGGACGT</t>
  </si>
  <si>
    <t>AGCACTTC</t>
  </si>
  <si>
    <t>TSBC09/UTBC58</t>
  </si>
  <si>
    <t>IDT UMI40</t>
  </si>
  <si>
    <t>ATGACGTC</t>
  </si>
  <si>
    <t>GAAGGAAG</t>
  </si>
  <si>
    <t>TSBC01/UTBC78</t>
  </si>
  <si>
    <t>ATTGGG</t>
  </si>
  <si>
    <t>AGTTCC</t>
  </si>
  <si>
    <t>IDT UMI41</t>
  </si>
  <si>
    <t>GAAGTTGG</t>
  </si>
  <si>
    <t>GTTGTTCG</t>
  </si>
  <si>
    <t>TSBC04/UTBC78</t>
  </si>
  <si>
    <t>IDT UMI42</t>
  </si>
  <si>
    <t>CATACCAC</t>
  </si>
  <si>
    <t>CGGTTGTT</t>
  </si>
  <si>
    <t>TSBC07/UTBC78</t>
  </si>
  <si>
    <t>IDT UMI43</t>
  </si>
  <si>
    <t>CTGTTGAC</t>
  </si>
  <si>
    <t>ACTGAGGT</t>
  </si>
  <si>
    <t>TSBC12/UTBC78</t>
  </si>
  <si>
    <t>IDT UMI44</t>
  </si>
  <si>
    <t>TGGCATGT</t>
  </si>
  <si>
    <t>TGAAGACG</t>
  </si>
  <si>
    <t>TSBC02/UTBC78</t>
  </si>
  <si>
    <t>IDT UMI45</t>
  </si>
  <si>
    <t>ATCGCCAT</t>
  </si>
  <si>
    <t>GTTACGCA</t>
  </si>
  <si>
    <t>TSBC03/UTBC78</t>
  </si>
  <si>
    <t>IDT UMI46</t>
  </si>
  <si>
    <t>TTGCGAAG</t>
  </si>
  <si>
    <t>AGCGTGTT</t>
  </si>
  <si>
    <t>TSBC08/UTBC78</t>
  </si>
  <si>
    <t>IDT UMI47</t>
  </si>
  <si>
    <t>AGTTCGTC</t>
  </si>
  <si>
    <t>GATCGAGT</t>
  </si>
  <si>
    <t>TSBC09/UTBC78</t>
  </si>
  <si>
    <t>IDT UMI48</t>
  </si>
  <si>
    <t>GAGCAGTA</t>
  </si>
  <si>
    <t>ACAGCTCA</t>
  </si>
  <si>
    <t>CACTGT</t>
  </si>
  <si>
    <t>TSBC01/UTBC55</t>
  </si>
  <si>
    <t>GGTGTG</t>
  </si>
  <si>
    <t>CGTACG</t>
  </si>
  <si>
    <t>IDT UMI49</t>
  </si>
  <si>
    <t>TSBC04/UTBC55</t>
  </si>
  <si>
    <t>IDT UMI50</t>
  </si>
  <si>
    <t>TSBC07/UTBC55</t>
  </si>
  <si>
    <t>IDT UMI51</t>
  </si>
  <si>
    <t>TSBC12/UTBC55</t>
  </si>
  <si>
    <t>IDT UMI52</t>
  </si>
  <si>
    <t>TSBC02/UTBC55</t>
  </si>
  <si>
    <t>IDT UMI53</t>
  </si>
  <si>
    <t>TSBC03/UTBC55</t>
  </si>
  <si>
    <t>IDT UMI54</t>
  </si>
  <si>
    <t>TSBC08/UTBC55</t>
  </si>
  <si>
    <t>IDT UMI55</t>
  </si>
  <si>
    <t>TSBC09/UTBC55</t>
  </si>
  <si>
    <t>IDT UMI56</t>
  </si>
  <si>
    <t>TSBC01/TSBC40</t>
  </si>
  <si>
    <t>CTCAGA</t>
  </si>
  <si>
    <t>GTCCGC</t>
  </si>
  <si>
    <t>IDT UMI57</t>
  </si>
  <si>
    <t>TSBC04/TSBC40</t>
  </si>
  <si>
    <t>IDT UMI58</t>
  </si>
  <si>
    <t>TSBC07/TSBC40</t>
  </si>
  <si>
    <t>IDT UMI59</t>
  </si>
  <si>
    <t>TSBC12/TSBC40</t>
  </si>
  <si>
    <t>IDT UMI60</t>
  </si>
  <si>
    <t>TSBC02/TSBC40</t>
  </si>
  <si>
    <t>IDT UMI61</t>
  </si>
  <si>
    <t>TSBC03/TSBC40</t>
  </si>
  <si>
    <t>IDT UMI62</t>
  </si>
  <si>
    <t>TSBC08/TSBC40</t>
  </si>
  <si>
    <t>IDT UMI63</t>
  </si>
  <si>
    <t>TSBC09/TSBC40</t>
  </si>
  <si>
    <t>IDT UMI64</t>
  </si>
  <si>
    <t>CGCCCT</t>
  </si>
  <si>
    <t>TSBC01/UTBC72</t>
  </si>
  <si>
    <t>AAGTAT</t>
  </si>
  <si>
    <t>TCGGCA</t>
  </si>
  <si>
    <t>IDT UMI65</t>
  </si>
  <si>
    <t>CTGCAG</t>
  </si>
  <si>
    <t>TSBC04/UTBC72</t>
  </si>
  <si>
    <t>IDT UMI66</t>
  </si>
  <si>
    <t>GAAGTT</t>
  </si>
  <si>
    <t>TSBC07/UTBC72</t>
  </si>
  <si>
    <t>IDT UMI67</t>
  </si>
  <si>
    <t>GCACCC</t>
  </si>
  <si>
    <t>TSBC12/UTBC72</t>
  </si>
  <si>
    <t>IDT UMI68</t>
  </si>
  <si>
    <t>TSBC02/UTBC72</t>
  </si>
  <si>
    <t>IDT UMI69</t>
  </si>
  <si>
    <t>TSBC03/UTBC72</t>
  </si>
  <si>
    <t>IDT UMI70</t>
  </si>
  <si>
    <t>TSBC08/UTBC72</t>
  </si>
  <si>
    <t>IDT UMI71</t>
  </si>
  <si>
    <t>TSBC09/UTBC72</t>
  </si>
  <si>
    <t>IDT UMI72</t>
  </si>
  <si>
    <t>TCAAGT</t>
  </si>
  <si>
    <t>TSBC01/TSBC38</t>
  </si>
  <si>
    <t>CTAGCT</t>
  </si>
  <si>
    <t>IDT UMI73</t>
  </si>
  <si>
    <t>TSBC04/TSBC38</t>
  </si>
  <si>
    <t>IDT UMI74</t>
  </si>
  <si>
    <t>TSBC07/TSBC38</t>
  </si>
  <si>
    <t>IDT UMI75</t>
  </si>
  <si>
    <t>TSBC12/TSBC38</t>
  </si>
  <si>
    <t>IDT UMI76</t>
  </si>
  <si>
    <t>TSBC02/TSBC38</t>
  </si>
  <si>
    <t>IDT UMI77</t>
  </si>
  <si>
    <t>TSBC03/TSBC38</t>
  </si>
  <si>
    <t>IDT UMI78</t>
  </si>
  <si>
    <t>TSBC08/TSBC38</t>
  </si>
  <si>
    <t>IDT UMI79</t>
  </si>
  <si>
    <t>TSBC09/TSBC38</t>
  </si>
  <si>
    <t>IDT UMI80</t>
  </si>
  <si>
    <t>TSBC01/UTBC76</t>
  </si>
  <si>
    <t>ACTCTC</t>
  </si>
  <si>
    <t>IDT UMI81</t>
  </si>
  <si>
    <t>TSBC04/UTBC76</t>
  </si>
  <si>
    <t>IDT UMI82</t>
  </si>
  <si>
    <t>TSBC07/UTBC76</t>
  </si>
  <si>
    <t>IDT UMI83</t>
  </si>
  <si>
    <t>TSBC12/UTBC76</t>
  </si>
  <si>
    <t>IDT UMI84</t>
  </si>
  <si>
    <t>TSBC02/UTBC76</t>
  </si>
  <si>
    <t>IDT UMI85</t>
  </si>
  <si>
    <t>TSBC03/UTBC76</t>
  </si>
  <si>
    <t>IDT UMI86</t>
  </si>
  <si>
    <t>TSBC08/UTBC76</t>
  </si>
  <si>
    <t>IDT UMI87</t>
  </si>
  <si>
    <t>TSBC09/UTBC76</t>
  </si>
  <si>
    <t>IDT UMI88</t>
  </si>
  <si>
    <t>TSBC01/UTBC91</t>
  </si>
  <si>
    <t>TGCAAA</t>
  </si>
  <si>
    <t>IDT UMI89</t>
  </si>
  <si>
    <t>TSBC04/UTBC91</t>
  </si>
  <si>
    <t>IDT UMI90</t>
  </si>
  <si>
    <t>TSBC07/UTBC91</t>
  </si>
  <si>
    <t>IDT UMI91</t>
  </si>
  <si>
    <t>TSBC12/UTBC91</t>
  </si>
  <si>
    <t>IDT UMI92</t>
  </si>
  <si>
    <t>TSBC02/UTBC91</t>
  </si>
  <si>
    <t>IDT UMI93</t>
  </si>
  <si>
    <t>TSBC03/UTBC91</t>
  </si>
  <si>
    <t>IDT UMI94</t>
  </si>
  <si>
    <t>TSBC08/UTBC91</t>
  </si>
  <si>
    <t>IDT UMI95</t>
  </si>
  <si>
    <t>TSBC09/UTBC91</t>
  </si>
  <si>
    <t>IDT UMI96</t>
  </si>
  <si>
    <t>TS23/Uni TS01</t>
  </si>
  <si>
    <t>TS23/Uni TS02</t>
  </si>
  <si>
    <t>TS01/TS10</t>
  </si>
  <si>
    <t>TS24/Uni TS01</t>
  </si>
  <si>
    <t>TS24/Uni TS02</t>
  </si>
  <si>
    <t>TS02/TS10</t>
  </si>
  <si>
    <t>TS25/Uni TS01</t>
  </si>
  <si>
    <t>TS25/Uni TS02</t>
  </si>
  <si>
    <t>TS03/TS10</t>
  </si>
  <si>
    <t>TS26/Uni TS01</t>
  </si>
  <si>
    <t>TS26/Uni TS02</t>
  </si>
  <si>
    <t>TS04/TS10</t>
  </si>
  <si>
    <t>TS27/Uni TS01</t>
  </si>
  <si>
    <t>TS27/Uni TS02</t>
  </si>
  <si>
    <t>TS06/TS10</t>
  </si>
  <si>
    <t>TS28/Uni TS01</t>
  </si>
  <si>
    <t>TS28/Uni TS02</t>
  </si>
  <si>
    <t>TS08/TS10</t>
  </si>
  <si>
    <t>TS29/Uni TS01</t>
  </si>
  <si>
    <t>TS29/Uni TS02</t>
  </si>
  <si>
    <t>TS07/TS10</t>
  </si>
  <si>
    <t>TS30/Uni TS01</t>
  </si>
  <si>
    <t>TS30/Uni TS02</t>
  </si>
  <si>
    <t>TS09/TS10</t>
  </si>
  <si>
    <t>TS31/Uni TS01</t>
  </si>
  <si>
    <t>TS31/Uni TS02</t>
  </si>
  <si>
    <t>TS01/TS13</t>
  </si>
  <si>
    <t>TS32/Uni TS01</t>
  </si>
  <si>
    <t>TS32/Uni TS02</t>
  </si>
  <si>
    <t>TS02/TS13</t>
  </si>
  <si>
    <t>TS33/Uni TS01</t>
  </si>
  <si>
    <t>TS33/Uni TS02</t>
  </si>
  <si>
    <t>TS03/TS13</t>
  </si>
  <si>
    <t>TS34/Uni TS01</t>
  </si>
  <si>
    <t>TS34/Uni TS02</t>
  </si>
  <si>
    <t>TS04/TS13</t>
  </si>
  <si>
    <t>TS35/Uni TS01</t>
  </si>
  <si>
    <t>TS35/Uni TS02</t>
  </si>
  <si>
    <t>TS06/TS13</t>
  </si>
  <si>
    <t>TS36/Uni TS01</t>
  </si>
  <si>
    <t>TS36/Uni TS02</t>
  </si>
  <si>
    <t>TS08/TS13</t>
  </si>
  <si>
    <t>TS37/Uni TS01</t>
  </si>
  <si>
    <t>TS37/Uni TS02</t>
  </si>
  <si>
    <t>TS07/TS13</t>
  </si>
  <si>
    <t>TS79/Uni TS01</t>
  </si>
  <si>
    <t>TS79/Uni TS02</t>
  </si>
  <si>
    <t>TS09/TS13</t>
  </si>
  <si>
    <t>TS23/Uni TS04</t>
  </si>
  <si>
    <t>TS19/Uni TS02</t>
  </si>
  <si>
    <t>TS01/TS16</t>
  </si>
  <si>
    <t>TS24/Uni TS04</t>
  </si>
  <si>
    <t>TS20/Uni TS02</t>
  </si>
  <si>
    <t>TS02/TS16</t>
  </si>
  <si>
    <t>TS25/Uni TS04</t>
  </si>
  <si>
    <t>TS21/Uni TS02</t>
  </si>
  <si>
    <t>TS03/TS16</t>
  </si>
  <si>
    <t>TS26/Uni TS04</t>
  </si>
  <si>
    <t>TS22/Uni TS02</t>
  </si>
  <si>
    <t>TS04/TS16</t>
  </si>
  <si>
    <t>TS27/Uni TS04</t>
  </si>
  <si>
    <t>TS19/Uni TS01</t>
  </si>
  <si>
    <t>TS06/TS16</t>
  </si>
  <si>
    <t>TS28/Uni TS04</t>
  </si>
  <si>
    <t>TS20/Uni TS01</t>
  </si>
  <si>
    <t>TS08/TS16</t>
  </si>
  <si>
    <t>TS29/Uni TS04</t>
  </si>
  <si>
    <t>TS21/Uni TS01</t>
  </si>
  <si>
    <t>TS07/TS16</t>
  </si>
  <si>
    <t>TS30/Uni TS04</t>
  </si>
  <si>
    <t>TS22/Uni TS01</t>
  </si>
  <si>
    <t>TS09/TS16</t>
  </si>
  <si>
    <t>TS31/Uni TS04</t>
  </si>
  <si>
    <t>TS23/Uni TS03</t>
  </si>
  <si>
    <t>TS01/TS17</t>
  </si>
  <si>
    <t>TS32/Uni TS04</t>
  </si>
  <si>
    <t>TS24/Uni TS03</t>
  </si>
  <si>
    <t>TS02/TS17</t>
  </si>
  <si>
    <t>TS33/Uni TS04</t>
  </si>
  <si>
    <t>TS25/Uni TS03</t>
  </si>
  <si>
    <t>TS03/TS17</t>
  </si>
  <si>
    <t>TS34/Uni TS04</t>
  </si>
  <si>
    <t>TS26/Uni TS03</t>
  </si>
  <si>
    <t>TS04/TS17</t>
  </si>
  <si>
    <t>TS35/Uni TS04</t>
  </si>
  <si>
    <t>TS27/Uni TS03</t>
  </si>
  <si>
    <t>TS06/TS17</t>
  </si>
  <si>
    <t>TS36/Uni TS04</t>
  </si>
  <si>
    <t>TS28/Uni TS03</t>
  </si>
  <si>
    <t>TS08/TS17</t>
  </si>
  <si>
    <t>TS37/Uni TS04</t>
  </si>
  <si>
    <t>TS29/Uni TS03</t>
  </si>
  <si>
    <t>TS07/TS17</t>
  </si>
  <si>
    <t>TS79/Uni TS04</t>
  </si>
  <si>
    <t>TS30/Uni TS03</t>
  </si>
  <si>
    <t>TS09/TS17</t>
  </si>
  <si>
    <t>TS23/Uni TS06</t>
  </si>
  <si>
    <t>TS31/Uni TS03</t>
  </si>
  <si>
    <t>TS01/TS44</t>
  </si>
  <si>
    <t>TS24/Uni TS06</t>
  </si>
  <si>
    <t>TS32/Uni TS03</t>
  </si>
  <si>
    <t>TS02/TS44</t>
  </si>
  <si>
    <t>TS25/Uni TS06</t>
  </si>
  <si>
    <t>TS33/Uni TS03</t>
  </si>
  <si>
    <t>TS03/TS44</t>
  </si>
  <si>
    <t>TS26/Uni TS06</t>
  </si>
  <si>
    <t>TS34/Uni TS03</t>
  </si>
  <si>
    <t>TS04/TS44</t>
  </si>
  <si>
    <t>TS27/Uni TS06</t>
  </si>
  <si>
    <t>TS35/Uni TS03</t>
  </si>
  <si>
    <t>TS06/TS44</t>
  </si>
  <si>
    <t>TS28/Uni TS06</t>
  </si>
  <si>
    <t>TS36/Uni TS03</t>
  </si>
  <si>
    <t>TS08/TS44</t>
  </si>
  <si>
    <t>TS29/Uni TS06</t>
  </si>
  <si>
    <t>TS37/Uni TS03</t>
  </si>
  <si>
    <t>TS07/TS44</t>
  </si>
  <si>
    <t>TS30/Uni TS06</t>
  </si>
  <si>
    <t>TS79/Uni TS03</t>
  </si>
  <si>
    <t>TS09/TS44</t>
  </si>
  <si>
    <t>TS31/Uni TS06</t>
  </si>
  <si>
    <t>TS19/Uni TS03</t>
  </si>
  <si>
    <t>TS01/TS14</t>
  </si>
  <si>
    <t>TS32/Uni TS06</t>
  </si>
  <si>
    <t>TS20/Uni TS03</t>
  </si>
  <si>
    <t>TS02/TS14</t>
  </si>
  <si>
    <t>TS33/Uni TS06</t>
  </si>
  <si>
    <t>TS21/Uni TS03</t>
  </si>
  <si>
    <t>TS03/TS14</t>
  </si>
  <si>
    <t>TS34/Uni TS06</t>
  </si>
  <si>
    <t>TS22/Uni TS03</t>
  </si>
  <si>
    <t>TS04/TS14</t>
  </si>
  <si>
    <t>TS35/Uni TS06</t>
  </si>
  <si>
    <t>TS19/Uni TS04</t>
  </si>
  <si>
    <t>TS06/TS14</t>
  </si>
  <si>
    <t>TS36/Uni TS06</t>
  </si>
  <si>
    <t>TS20/Uni TS04</t>
  </si>
  <si>
    <t>TS08/TS14</t>
  </si>
  <si>
    <t>TS37/Uni TS06</t>
  </si>
  <si>
    <t>TS21/Uni TS04</t>
  </si>
  <si>
    <t>TS07/TS14</t>
  </si>
  <si>
    <t>TS79/Uni TS06</t>
  </si>
  <si>
    <t>TS22/Uni TS04</t>
  </si>
  <si>
    <t>TS09/TS14</t>
  </si>
  <si>
    <t>TS23/Uni TS12</t>
  </si>
  <si>
    <t>TS23/Uni TS05</t>
  </si>
  <si>
    <t>TS01/TS22</t>
  </si>
  <si>
    <t>TS24/Uni TS12</t>
  </si>
  <si>
    <t>TS24/Uni TS05</t>
  </si>
  <si>
    <t>TS02/TS22</t>
  </si>
  <si>
    <t>TS25/Uni TS12</t>
  </si>
  <si>
    <t>TS25/Uni TS05</t>
  </si>
  <si>
    <t>TS03/TS22</t>
  </si>
  <si>
    <t>TS26/Uni TS12</t>
  </si>
  <si>
    <t>TS26/Uni TS05</t>
  </si>
  <si>
    <t>TS04/TS22</t>
  </si>
  <si>
    <t>TS27/Uni TS12</t>
  </si>
  <si>
    <t>TS27/Uni TS05</t>
  </si>
  <si>
    <t>TS06/TS22</t>
  </si>
  <si>
    <t>TS28/Uni TS12</t>
  </si>
  <si>
    <t>TS28/Uni TS05</t>
  </si>
  <si>
    <t>TS08/TS22</t>
  </si>
  <si>
    <t>TS29/Uni TS12</t>
  </si>
  <si>
    <t>TS29/Uni TS05</t>
  </si>
  <si>
    <t>TS07/TS22</t>
  </si>
  <si>
    <t>TS30/Uni TS12</t>
  </si>
  <si>
    <t>TS30/Uni TS05</t>
  </si>
  <si>
    <t>TS09/TS22</t>
  </si>
  <si>
    <t>TS31/Uni TS12</t>
  </si>
  <si>
    <t>TS31/Uni TS05</t>
  </si>
  <si>
    <t>TS01/TS18</t>
  </si>
  <si>
    <t>TS32/Uni TS12</t>
  </si>
  <si>
    <t>TS32/Uni TS05</t>
  </si>
  <si>
    <t>TS02/TS18</t>
  </si>
  <si>
    <t>TS33/Uni TS12</t>
  </si>
  <si>
    <t>TS33/Uni TS05</t>
  </si>
  <si>
    <t>TS03/TS18</t>
  </si>
  <si>
    <t>TS34/Uni TS12</t>
  </si>
  <si>
    <t>TS34/Uni TS05</t>
  </si>
  <si>
    <t>TS04/TS18</t>
  </si>
  <si>
    <t>TS35/Uni TS12</t>
  </si>
  <si>
    <t>TS35/Uni TS05</t>
  </si>
  <si>
    <t>TS06/TS18</t>
  </si>
  <si>
    <t>TS36/Uni TS12</t>
  </si>
  <si>
    <t>TS36/Uni TS05</t>
  </si>
  <si>
    <t>TS08/TS18</t>
  </si>
  <si>
    <t>TS37/Uni TS12</t>
  </si>
  <si>
    <t>TS37/Uni TS05</t>
  </si>
  <si>
    <t>TS07/TS18</t>
  </si>
  <si>
    <t>TS79/Uni TS12</t>
  </si>
  <si>
    <t>TS79/Uni TS05</t>
  </si>
  <si>
    <t>TS09/TS18</t>
  </si>
  <si>
    <t>TS80/Uni TS01</t>
  </si>
  <si>
    <t>TS19/Uni TS05</t>
  </si>
  <si>
    <t>TS01/TS48</t>
  </si>
  <si>
    <t>TS81/Uni TS01</t>
  </si>
  <si>
    <t>TS20/Uni TS05</t>
  </si>
  <si>
    <t>TS02/TS48</t>
  </si>
  <si>
    <t>TS82/Uni TS01</t>
  </si>
  <si>
    <t>TS21/Uni TS05</t>
  </si>
  <si>
    <t>TS03/TS48</t>
  </si>
  <si>
    <t>TS83/Uni TS01</t>
  </si>
  <si>
    <t>TS22/Uni TS05</t>
  </si>
  <si>
    <t>TS04/TS48</t>
  </si>
  <si>
    <t>TS80/Uni TS04</t>
  </si>
  <si>
    <t>TS19/Uni TS06</t>
  </si>
  <si>
    <t>TS06/TS48</t>
  </si>
  <si>
    <t>TS81/Uni TS04</t>
  </si>
  <si>
    <t>TS20/Uni TS06</t>
  </si>
  <si>
    <t>TS08/TS48</t>
  </si>
  <si>
    <t>TS82/Uni TS04</t>
  </si>
  <si>
    <t>TS21/Uni TS06</t>
  </si>
  <si>
    <t>TS07/TS48</t>
  </si>
  <si>
    <t>TS83/Uni TS04</t>
  </si>
  <si>
    <t>TS22/Uni TS06</t>
  </si>
  <si>
    <t>TS09/TS48</t>
  </si>
  <si>
    <t>TS80/Uni TS06</t>
  </si>
  <si>
    <t>TS23/Uni TS08</t>
  </si>
  <si>
    <t>TS01/TS25</t>
  </si>
  <si>
    <t>TS81/Uni TS06</t>
  </si>
  <si>
    <t>TS24/Uni TS08</t>
  </si>
  <si>
    <t>TS02/TS25</t>
  </si>
  <si>
    <t>TS82/Uni TS06</t>
  </si>
  <si>
    <t>TS25/Uni TS08</t>
  </si>
  <si>
    <t>TS03/TS25</t>
  </si>
  <si>
    <t>TS83/Uni TS06</t>
  </si>
  <si>
    <t>TS26/Uni TS08</t>
  </si>
  <si>
    <t>TS04/TS25</t>
  </si>
  <si>
    <t>TS80/Uni TS12</t>
  </si>
  <si>
    <t>TS27/Uni TS08</t>
  </si>
  <si>
    <t>TS06/TS25</t>
  </si>
  <si>
    <t>TS81/Uni TS12</t>
  </si>
  <si>
    <t>TS28/Uni TS08</t>
  </si>
  <si>
    <t>TS08/TS25</t>
  </si>
  <si>
    <t>TS82/Uni TS12</t>
  </si>
  <si>
    <t>TS29/Uni TS08</t>
  </si>
  <si>
    <t>TS07/TS25</t>
  </si>
  <si>
    <t>TS83/Uni TS12</t>
  </si>
  <si>
    <t>TS30/Uni TS08</t>
  </si>
  <si>
    <t>TS09/TS25</t>
  </si>
  <si>
    <t>TS80/Uni TS02</t>
  </si>
  <si>
    <t>TS31/Uni TS08</t>
  </si>
  <si>
    <t>TS01/TS28</t>
  </si>
  <si>
    <t>TS81/Uni TS02</t>
  </si>
  <si>
    <t>TS32/Uni TS08</t>
  </si>
  <si>
    <t>TS02/TS28</t>
  </si>
  <si>
    <t>TS82/Uni TS02</t>
  </si>
  <si>
    <t>TS33/Uni TS08</t>
  </si>
  <si>
    <t>TS03/TS28</t>
  </si>
  <si>
    <t>TS83/Uni TS02</t>
  </si>
  <si>
    <t>TS34/Uni TS08</t>
  </si>
  <si>
    <t>TS04/TS28</t>
  </si>
  <si>
    <t>TS80/Uni TS03</t>
  </si>
  <si>
    <t>TS35/Uni TS08</t>
  </si>
  <si>
    <t>TS06/TS28</t>
  </si>
  <si>
    <t>TS81/Uni TS03</t>
  </si>
  <si>
    <t>TS36/Uni TS08</t>
  </si>
  <si>
    <t>TS08/TS28</t>
  </si>
  <si>
    <t>TS82/Uni TS03</t>
  </si>
  <si>
    <t>TS37/Uni TS08</t>
  </si>
  <si>
    <t>TS07/TS28</t>
  </si>
  <si>
    <t>TS83/Uni TS03</t>
  </si>
  <si>
    <t>TS79/Uni TS08</t>
  </si>
  <si>
    <t>TS09/TS28</t>
  </si>
  <si>
    <t>TS80/Uni TS05</t>
  </si>
  <si>
    <t>TS19/Uni TS08</t>
  </si>
  <si>
    <t>TS01/TS23</t>
  </si>
  <si>
    <t>TS81/Uni TS05</t>
  </si>
  <si>
    <t>TS20/Uni TS08</t>
  </si>
  <si>
    <t>TS02/TS23</t>
  </si>
  <si>
    <t>TS82/Uni TS05</t>
  </si>
  <si>
    <t>TS21/Uni TS08</t>
  </si>
  <si>
    <t>TS03/TS23</t>
  </si>
  <si>
    <t>TS83/Uni TS05</t>
  </si>
  <si>
    <t>TS22/Uni TS08</t>
  </si>
  <si>
    <t>TS04/TS23</t>
  </si>
  <si>
    <t>TS80/Uni TS08</t>
  </si>
  <si>
    <t>TS19/Uni TS12</t>
  </si>
  <si>
    <t>TS06/TS23</t>
  </si>
  <si>
    <t>TS81/Uni TS08</t>
  </si>
  <si>
    <t>TS20/Uni TS12</t>
  </si>
  <si>
    <t>TS08/TS23</t>
  </si>
  <si>
    <t>TS82/Uni TS08</t>
  </si>
  <si>
    <t>TS21/Uni TS12</t>
  </si>
  <si>
    <t>TS07/TS23</t>
  </si>
  <si>
    <t>TS83/Uni TS08</t>
  </si>
  <si>
    <t>TS22/Uni TS12</t>
  </si>
  <si>
    <t>TS09/TS23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</si>
</sst>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E4DFEC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CCC0DA"/>
        <bgColor rgb="FF000000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4" fontId="1" fillId="2" borderId="0" xfId="0" applyNumberFormat="1" applyFont="1" applyFill="1"/>
    <xf numFmtId="0" fontId="1" fillId="3" borderId="0" xfId="0" applyFont="1" applyFill="1"/>
    <xf numFmtId="0" fontId="1" fillId="0" borderId="3" xfId="0" applyFont="1" applyBorder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4" borderId="8" xfId="0" applyFont="1" applyFill="1" applyBorder="1" applyAlignment="1">
      <alignment horizontal="center" vertical="center"/>
    </xf>
    <xf numFmtId="0" fontId="1" fillId="4" borderId="1" xfId="0" applyFont="1" applyFill="1" applyBorder="1"/>
    <xf numFmtId="0" fontId="1" fillId="0" borderId="8" xfId="0" applyFont="1" applyBorder="1" applyAlignment="1">
      <alignment horizontal="center" vertical="center"/>
    </xf>
    <xf numFmtId="0" fontId="1" fillId="0" borderId="1" xfId="0" applyFont="1" applyBorder="1"/>
    <xf numFmtId="0" fontId="2" fillId="5" borderId="8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1" xfId="0" applyFont="1" applyFill="1" applyBorder="1"/>
    <xf numFmtId="0" fontId="2" fillId="6" borderId="4" xfId="0" applyFont="1" applyFill="1" applyBorder="1" applyAlignment="1">
      <alignment horizontal="center" wrapText="1"/>
    </xf>
    <xf numFmtId="0" fontId="2" fillId="6" borderId="10" xfId="0" applyFont="1" applyFill="1" applyBorder="1" applyAlignment="1">
      <alignment horizontal="center" wrapText="1"/>
    </xf>
    <xf numFmtId="0" fontId="2" fillId="6" borderId="5" xfId="0" applyFont="1" applyFill="1" applyBorder="1" applyAlignment="1">
      <alignment horizontal="center" wrapText="1"/>
    </xf>
    <xf numFmtId="0" fontId="2" fillId="6" borderId="6" xfId="0" applyFont="1" applyFill="1" applyBorder="1" applyAlignment="1">
      <alignment horizontal="center" wrapText="1"/>
    </xf>
    <xf numFmtId="0" fontId="3" fillId="0" borderId="8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49" fontId="3" fillId="0" borderId="1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1" fillId="0" borderId="12" xfId="0" applyFont="1" applyBorder="1"/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49" fontId="3" fillId="0" borderId="1" xfId="0" applyNumberFormat="1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49" fontId="3" fillId="0" borderId="17" xfId="0" applyNumberFormat="1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4" fillId="6" borderId="1" xfId="0" applyFont="1" applyFill="1" applyBorder="1"/>
    <xf numFmtId="0" fontId="1" fillId="6" borderId="1" xfId="0" applyFont="1" applyFill="1" applyBorder="1"/>
    <xf numFmtId="49" fontId="1" fillId="0" borderId="0" xfId="0" applyNumberFormat="1" applyFont="1"/>
    <xf numFmtId="0" fontId="4" fillId="6" borderId="1" xfId="0" applyFont="1" applyFill="1" applyBorder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2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395FF"/>
      <color rgb="FFC178FF"/>
      <color rgb="FFF732F9"/>
      <color rgb="FFCF2C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agSeq%20Sample%20and%20Index%20Tracking%20Templat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HLM/library_templates/TagSeq%20Sample%20and%20Index%20Tracking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ter Samples Here"/>
      <sheetName val="Sheet1"/>
      <sheetName val="Plate Map for Barcode PCR"/>
      <sheetName val=" Sample Names and Indices"/>
      <sheetName val="Plate Map"/>
      <sheetName val="Index Plate Layout"/>
    </sheetNames>
    <sheetDataSet>
      <sheetData sheetId="0">
        <row r="2">
          <cell r="Q2">
            <v>10</v>
          </cell>
          <cell r="R2">
            <v>500</v>
          </cell>
          <cell r="AS2" t="str">
            <v/>
          </cell>
        </row>
        <row r="3">
          <cell r="Q3">
            <v>10</v>
          </cell>
          <cell r="R3">
            <v>500</v>
          </cell>
          <cell r="AS3" t="str">
            <v/>
          </cell>
        </row>
        <row r="4">
          <cell r="Q4">
            <v>10</v>
          </cell>
          <cell r="R4">
            <v>500</v>
          </cell>
          <cell r="AS4" t="str">
            <v/>
          </cell>
        </row>
        <row r="5">
          <cell r="Q5">
            <v>10</v>
          </cell>
          <cell r="R5">
            <v>500</v>
          </cell>
          <cell r="AS5" t="str">
            <v/>
          </cell>
        </row>
        <row r="6">
          <cell r="Q6">
            <v>10</v>
          </cell>
          <cell r="R6">
            <v>500</v>
          </cell>
          <cell r="AS6" t="str">
            <v/>
          </cell>
        </row>
        <row r="7">
          <cell r="Q7">
            <v>10</v>
          </cell>
          <cell r="R7">
            <v>500</v>
          </cell>
          <cell r="AS7" t="str">
            <v/>
          </cell>
        </row>
        <row r="8">
          <cell r="Q8">
            <v>10</v>
          </cell>
          <cell r="R8">
            <v>500</v>
          </cell>
          <cell r="AS8" t="str">
            <v/>
          </cell>
        </row>
        <row r="9">
          <cell r="Q9">
            <v>10</v>
          </cell>
          <cell r="R9">
            <v>500</v>
          </cell>
          <cell r="AS9" t="str">
            <v/>
          </cell>
        </row>
        <row r="10">
          <cell r="Q10">
            <v>10</v>
          </cell>
          <cell r="R10">
            <v>500</v>
          </cell>
          <cell r="AS10" t="str">
            <v/>
          </cell>
        </row>
        <row r="11">
          <cell r="Q11">
            <v>10</v>
          </cell>
          <cell r="R11">
            <v>500</v>
          </cell>
          <cell r="AS11" t="str">
            <v/>
          </cell>
        </row>
        <row r="12">
          <cell r="Q12">
            <v>10</v>
          </cell>
          <cell r="R12">
            <v>500</v>
          </cell>
          <cell r="AS12" t="str">
            <v/>
          </cell>
        </row>
        <row r="13">
          <cell r="Q13">
            <v>10</v>
          </cell>
          <cell r="R13">
            <v>500</v>
          </cell>
          <cell r="AS13" t="str">
            <v/>
          </cell>
        </row>
        <row r="14">
          <cell r="Q14">
            <v>10</v>
          </cell>
          <cell r="R14">
            <v>500</v>
          </cell>
          <cell r="AS14" t="str">
            <v/>
          </cell>
        </row>
        <row r="15">
          <cell r="Q15">
            <v>10</v>
          </cell>
          <cell r="R15">
            <v>500</v>
          </cell>
          <cell r="AS15" t="str">
            <v/>
          </cell>
        </row>
        <row r="16">
          <cell r="Q16">
            <v>10</v>
          </cell>
          <cell r="R16">
            <v>500</v>
          </cell>
          <cell r="AS16" t="str">
            <v/>
          </cell>
        </row>
        <row r="17">
          <cell r="Q17">
            <v>10</v>
          </cell>
          <cell r="R17">
            <v>500</v>
          </cell>
          <cell r="AS17" t="str">
            <v/>
          </cell>
        </row>
        <row r="18">
          <cell r="Q18">
            <v>10</v>
          </cell>
          <cell r="R18">
            <v>500</v>
          </cell>
          <cell r="AS18" t="str">
            <v/>
          </cell>
        </row>
        <row r="19">
          <cell r="Q19">
            <v>10</v>
          </cell>
          <cell r="R19">
            <v>500</v>
          </cell>
          <cell r="AS19" t="str">
            <v/>
          </cell>
        </row>
        <row r="20">
          <cell r="Q20">
            <v>10</v>
          </cell>
          <cell r="R20">
            <v>500</v>
          </cell>
          <cell r="AS20" t="str">
            <v/>
          </cell>
        </row>
        <row r="21">
          <cell r="Q21">
            <v>10</v>
          </cell>
          <cell r="R21">
            <v>500</v>
          </cell>
          <cell r="AS21" t="str">
            <v/>
          </cell>
        </row>
        <row r="22">
          <cell r="Q22">
            <v>10</v>
          </cell>
          <cell r="R22">
            <v>500</v>
          </cell>
          <cell r="AS22" t="str">
            <v/>
          </cell>
        </row>
        <row r="23">
          <cell r="Q23">
            <v>10</v>
          </cell>
          <cell r="R23">
            <v>500</v>
          </cell>
          <cell r="AS23" t="str">
            <v/>
          </cell>
        </row>
        <row r="24">
          <cell r="Q24">
            <v>10</v>
          </cell>
          <cell r="R24">
            <v>500</v>
          </cell>
          <cell r="AS24" t="str">
            <v/>
          </cell>
        </row>
        <row r="25">
          <cell r="Q25">
            <v>10</v>
          </cell>
          <cell r="R25">
            <v>500</v>
          </cell>
          <cell r="AS25" t="str">
            <v/>
          </cell>
        </row>
        <row r="26">
          <cell r="Q26">
            <v>10</v>
          </cell>
          <cell r="R26">
            <v>500</v>
          </cell>
          <cell r="AS26" t="str">
            <v/>
          </cell>
        </row>
        <row r="27">
          <cell r="Q27">
            <v>10</v>
          </cell>
          <cell r="R27">
            <v>500</v>
          </cell>
          <cell r="AS27" t="str">
            <v/>
          </cell>
        </row>
        <row r="28">
          <cell r="Q28">
            <v>10</v>
          </cell>
          <cell r="R28">
            <v>500</v>
          </cell>
          <cell r="AS28" t="str">
            <v/>
          </cell>
        </row>
        <row r="29">
          <cell r="Q29">
            <v>10</v>
          </cell>
          <cell r="R29">
            <v>500</v>
          </cell>
          <cell r="AS29" t="str">
            <v/>
          </cell>
        </row>
        <row r="30">
          <cell r="Q30">
            <v>10</v>
          </cell>
          <cell r="R30">
            <v>500</v>
          </cell>
          <cell r="AS30" t="str">
            <v/>
          </cell>
        </row>
        <row r="31">
          <cell r="Q31">
            <v>10</v>
          </cell>
          <cell r="R31">
            <v>500</v>
          </cell>
          <cell r="AS31" t="str">
            <v/>
          </cell>
        </row>
        <row r="32">
          <cell r="Q32">
            <v>10</v>
          </cell>
          <cell r="R32">
            <v>500</v>
          </cell>
          <cell r="AS32" t="str">
            <v/>
          </cell>
        </row>
        <row r="33">
          <cell r="Q33">
            <v>10</v>
          </cell>
          <cell r="R33">
            <v>500</v>
          </cell>
          <cell r="AS33" t="str">
            <v/>
          </cell>
        </row>
        <row r="34">
          <cell r="Q34">
            <v>10</v>
          </cell>
          <cell r="R34">
            <v>500</v>
          </cell>
          <cell r="AS34" t="str">
            <v/>
          </cell>
        </row>
        <row r="35">
          <cell r="Q35">
            <v>10</v>
          </cell>
          <cell r="R35">
            <v>500</v>
          </cell>
          <cell r="AS35" t="str">
            <v/>
          </cell>
        </row>
        <row r="36">
          <cell r="Q36">
            <v>10</v>
          </cell>
          <cell r="R36">
            <v>500</v>
          </cell>
          <cell r="AS36" t="str">
            <v/>
          </cell>
        </row>
        <row r="37">
          <cell r="Q37">
            <v>10</v>
          </cell>
          <cell r="R37">
            <v>500</v>
          </cell>
          <cell r="AS37" t="str">
            <v/>
          </cell>
        </row>
        <row r="38">
          <cell r="Q38">
            <v>10</v>
          </cell>
          <cell r="R38">
            <v>500</v>
          </cell>
          <cell r="AS38" t="str">
            <v/>
          </cell>
        </row>
        <row r="39">
          <cell r="Q39">
            <v>10</v>
          </cell>
          <cell r="R39">
            <v>500</v>
          </cell>
          <cell r="AS39" t="str">
            <v/>
          </cell>
        </row>
        <row r="40">
          <cell r="Q40">
            <v>10</v>
          </cell>
          <cell r="R40">
            <v>500</v>
          </cell>
          <cell r="AS40" t="str">
            <v/>
          </cell>
        </row>
        <row r="41">
          <cell r="Q41">
            <v>10</v>
          </cell>
          <cell r="R41">
            <v>500</v>
          </cell>
          <cell r="AS41" t="str">
            <v/>
          </cell>
        </row>
        <row r="42">
          <cell r="Q42">
            <v>10</v>
          </cell>
          <cell r="R42">
            <v>500</v>
          </cell>
          <cell r="AS42" t="str">
            <v/>
          </cell>
        </row>
        <row r="43">
          <cell r="Q43">
            <v>10</v>
          </cell>
          <cell r="R43">
            <v>500</v>
          </cell>
          <cell r="AS43" t="str">
            <v/>
          </cell>
        </row>
        <row r="44">
          <cell r="Q44">
            <v>10</v>
          </cell>
          <cell r="R44">
            <v>500</v>
          </cell>
          <cell r="AS44" t="str">
            <v/>
          </cell>
        </row>
        <row r="45">
          <cell r="Q45">
            <v>10</v>
          </cell>
          <cell r="R45">
            <v>500</v>
          </cell>
          <cell r="AS45" t="str">
            <v/>
          </cell>
        </row>
        <row r="46">
          <cell r="Q46">
            <v>10</v>
          </cell>
          <cell r="R46">
            <v>500</v>
          </cell>
          <cell r="AS46" t="str">
            <v/>
          </cell>
        </row>
        <row r="47">
          <cell r="Q47">
            <v>10</v>
          </cell>
          <cell r="R47">
            <v>500</v>
          </cell>
          <cell r="AS47" t="str">
            <v/>
          </cell>
        </row>
        <row r="48">
          <cell r="Q48">
            <v>10</v>
          </cell>
          <cell r="R48">
            <v>500</v>
          </cell>
          <cell r="AS48" t="str">
            <v/>
          </cell>
        </row>
        <row r="49">
          <cell r="Q49">
            <v>10</v>
          </cell>
          <cell r="R49">
            <v>500</v>
          </cell>
          <cell r="AS49" t="str">
            <v/>
          </cell>
        </row>
        <row r="50">
          <cell r="Q50">
            <v>10</v>
          </cell>
          <cell r="R50">
            <v>500</v>
          </cell>
          <cell r="AS50" t="str">
            <v/>
          </cell>
        </row>
        <row r="51">
          <cell r="Q51">
            <v>10</v>
          </cell>
          <cell r="R51">
            <v>500</v>
          </cell>
          <cell r="AS51" t="str">
            <v/>
          </cell>
        </row>
        <row r="52">
          <cell r="Q52">
            <v>10</v>
          </cell>
          <cell r="R52">
            <v>500</v>
          </cell>
          <cell r="AS52" t="str">
            <v/>
          </cell>
        </row>
        <row r="53">
          <cell r="Q53">
            <v>10</v>
          </cell>
          <cell r="R53">
            <v>500</v>
          </cell>
          <cell r="AS53" t="str">
            <v/>
          </cell>
        </row>
        <row r="54">
          <cell r="Q54">
            <v>10</v>
          </cell>
          <cell r="R54">
            <v>500</v>
          </cell>
          <cell r="AS54" t="str">
            <v/>
          </cell>
        </row>
        <row r="55">
          <cell r="Q55">
            <v>10</v>
          </cell>
          <cell r="R55">
            <v>500</v>
          </cell>
          <cell r="AS55" t="str">
            <v/>
          </cell>
        </row>
        <row r="56">
          <cell r="Q56">
            <v>10</v>
          </cell>
          <cell r="R56">
            <v>500</v>
          </cell>
          <cell r="AS56" t="str">
            <v/>
          </cell>
        </row>
        <row r="57">
          <cell r="Q57">
            <v>10</v>
          </cell>
          <cell r="R57">
            <v>500</v>
          </cell>
          <cell r="AS57" t="str">
            <v/>
          </cell>
        </row>
        <row r="58">
          <cell r="Q58">
            <v>10</v>
          </cell>
          <cell r="R58">
            <v>500</v>
          </cell>
          <cell r="AS58" t="str">
            <v/>
          </cell>
        </row>
        <row r="59">
          <cell r="Q59">
            <v>10</v>
          </cell>
          <cell r="R59">
            <v>500</v>
          </cell>
          <cell r="AS59" t="str">
            <v/>
          </cell>
        </row>
        <row r="60">
          <cell r="Q60">
            <v>10</v>
          </cell>
          <cell r="R60">
            <v>500</v>
          </cell>
          <cell r="AS60" t="str">
            <v/>
          </cell>
        </row>
        <row r="61">
          <cell r="Q61">
            <v>10</v>
          </cell>
          <cell r="R61">
            <v>500</v>
          </cell>
          <cell r="AS61" t="str">
            <v/>
          </cell>
        </row>
        <row r="62">
          <cell r="Q62">
            <v>10</v>
          </cell>
          <cell r="R62">
            <v>500</v>
          </cell>
          <cell r="AS62" t="str">
            <v/>
          </cell>
        </row>
        <row r="63">
          <cell r="Q63">
            <v>10</v>
          </cell>
          <cell r="R63">
            <v>500</v>
          </cell>
          <cell r="AS63" t="str">
            <v/>
          </cell>
        </row>
        <row r="64">
          <cell r="Q64">
            <v>10</v>
          </cell>
          <cell r="R64">
            <v>500</v>
          </cell>
          <cell r="AS64" t="str">
            <v/>
          </cell>
        </row>
        <row r="65">
          <cell r="Q65">
            <v>10</v>
          </cell>
          <cell r="R65">
            <v>500</v>
          </cell>
          <cell r="AS65" t="str">
            <v/>
          </cell>
        </row>
        <row r="66">
          <cell r="Q66">
            <v>10</v>
          </cell>
          <cell r="R66">
            <v>500</v>
          </cell>
          <cell r="AS66" t="str">
            <v/>
          </cell>
        </row>
        <row r="67">
          <cell r="Q67">
            <v>10</v>
          </cell>
          <cell r="R67">
            <v>500</v>
          </cell>
          <cell r="AS67" t="str">
            <v/>
          </cell>
        </row>
        <row r="68">
          <cell r="Q68">
            <v>10</v>
          </cell>
          <cell r="R68">
            <v>500</v>
          </cell>
          <cell r="AS68" t="str">
            <v/>
          </cell>
        </row>
        <row r="69">
          <cell r="Q69">
            <v>10</v>
          </cell>
          <cell r="R69">
            <v>500</v>
          </cell>
          <cell r="AS69" t="str">
            <v/>
          </cell>
        </row>
        <row r="70">
          <cell r="Q70">
            <v>10</v>
          </cell>
          <cell r="R70">
            <v>500</v>
          </cell>
          <cell r="AS70" t="str">
            <v/>
          </cell>
        </row>
        <row r="71">
          <cell r="Q71">
            <v>10</v>
          </cell>
          <cell r="R71">
            <v>500</v>
          </cell>
          <cell r="AS71" t="str">
            <v/>
          </cell>
        </row>
        <row r="72">
          <cell r="Q72">
            <v>10</v>
          </cell>
          <cell r="R72">
            <v>500</v>
          </cell>
          <cell r="AS72" t="str">
            <v/>
          </cell>
        </row>
        <row r="73">
          <cell r="Q73">
            <v>10</v>
          </cell>
          <cell r="R73">
            <v>500</v>
          </cell>
          <cell r="AS73" t="str">
            <v/>
          </cell>
        </row>
        <row r="74">
          <cell r="Q74">
            <v>10</v>
          </cell>
          <cell r="R74">
            <v>500</v>
          </cell>
          <cell r="AS74" t="str">
            <v/>
          </cell>
        </row>
        <row r="75">
          <cell r="Q75">
            <v>10</v>
          </cell>
          <cell r="R75">
            <v>500</v>
          </cell>
          <cell r="AS75" t="str">
            <v/>
          </cell>
        </row>
        <row r="76">
          <cell r="Q76">
            <v>10</v>
          </cell>
          <cell r="R76">
            <v>500</v>
          </cell>
          <cell r="AS76" t="str">
            <v/>
          </cell>
        </row>
        <row r="77">
          <cell r="Q77">
            <v>10</v>
          </cell>
          <cell r="R77">
            <v>500</v>
          </cell>
          <cell r="AS77" t="str">
            <v/>
          </cell>
        </row>
        <row r="78">
          <cell r="Q78">
            <v>10</v>
          </cell>
          <cell r="R78">
            <v>500</v>
          </cell>
          <cell r="AS78" t="str">
            <v/>
          </cell>
        </row>
        <row r="79">
          <cell r="Q79">
            <v>10</v>
          </cell>
          <cell r="R79">
            <v>500</v>
          </cell>
          <cell r="AS79" t="str">
            <v/>
          </cell>
        </row>
        <row r="80">
          <cell r="Q80">
            <v>10</v>
          </cell>
          <cell r="R80">
            <v>500</v>
          </cell>
          <cell r="AS80" t="str">
            <v/>
          </cell>
        </row>
        <row r="81">
          <cell r="Q81">
            <v>10</v>
          </cell>
          <cell r="R81">
            <v>500</v>
          </cell>
          <cell r="AS81" t="str">
            <v/>
          </cell>
        </row>
        <row r="82">
          <cell r="Q82">
            <v>10</v>
          </cell>
          <cell r="R82">
            <v>500</v>
          </cell>
          <cell r="AS82" t="str">
            <v/>
          </cell>
        </row>
        <row r="83">
          <cell r="Q83">
            <v>10</v>
          </cell>
          <cell r="R83">
            <v>500</v>
          </cell>
          <cell r="AS83" t="str">
            <v/>
          </cell>
        </row>
        <row r="84">
          <cell r="Q84">
            <v>10</v>
          </cell>
          <cell r="R84">
            <v>500</v>
          </cell>
          <cell r="AS84" t="str">
            <v/>
          </cell>
        </row>
        <row r="85">
          <cell r="Q85">
            <v>10</v>
          </cell>
          <cell r="R85">
            <v>500</v>
          </cell>
          <cell r="AS85" t="str">
            <v/>
          </cell>
        </row>
        <row r="86">
          <cell r="Q86">
            <v>10</v>
          </cell>
          <cell r="R86">
            <v>500</v>
          </cell>
          <cell r="AS86" t="str">
            <v/>
          </cell>
        </row>
        <row r="87">
          <cell r="Q87">
            <v>10</v>
          </cell>
          <cell r="R87">
            <v>500</v>
          </cell>
          <cell r="AS87" t="str">
            <v/>
          </cell>
        </row>
        <row r="88">
          <cell r="Q88">
            <v>10</v>
          </cell>
          <cell r="R88">
            <v>500</v>
          </cell>
          <cell r="AS88" t="str">
            <v/>
          </cell>
        </row>
        <row r="89">
          <cell r="Q89">
            <v>10</v>
          </cell>
          <cell r="R89">
            <v>500</v>
          </cell>
          <cell r="AS89" t="str">
            <v/>
          </cell>
        </row>
        <row r="90">
          <cell r="Q90">
            <v>10</v>
          </cell>
          <cell r="R90">
            <v>500</v>
          </cell>
          <cell r="AS90" t="str">
            <v/>
          </cell>
        </row>
        <row r="91">
          <cell r="Q91">
            <v>10</v>
          </cell>
          <cell r="R91">
            <v>500</v>
          </cell>
          <cell r="AS91" t="str">
            <v/>
          </cell>
        </row>
        <row r="92">
          <cell r="Q92">
            <v>10</v>
          </cell>
          <cell r="R92">
            <v>500</v>
          </cell>
          <cell r="AS92" t="str">
            <v/>
          </cell>
        </row>
        <row r="93">
          <cell r="Q93">
            <v>10</v>
          </cell>
          <cell r="R93">
            <v>500</v>
          </cell>
          <cell r="AS93" t="str">
            <v/>
          </cell>
        </row>
        <row r="94">
          <cell r="Q94">
            <v>10</v>
          </cell>
          <cell r="R94">
            <v>500</v>
          </cell>
          <cell r="AS94" t="str">
            <v/>
          </cell>
        </row>
        <row r="95">
          <cell r="Q95">
            <v>10</v>
          </cell>
          <cell r="R95">
            <v>500</v>
          </cell>
          <cell r="AS95" t="str">
            <v/>
          </cell>
        </row>
        <row r="96">
          <cell r="Q96">
            <v>10</v>
          </cell>
          <cell r="R96">
            <v>500</v>
          </cell>
          <cell r="AS96" t="str">
            <v/>
          </cell>
        </row>
        <row r="97">
          <cell r="Q97">
            <v>10</v>
          </cell>
          <cell r="R97">
            <v>500</v>
          </cell>
          <cell r="AS97" t="str">
            <v/>
          </cell>
        </row>
      </sheetData>
      <sheetData sheetId="1"/>
      <sheetData sheetId="2"/>
      <sheetData sheetId="3"/>
      <sheetData sheetId="4"/>
      <sheetData sheetId="5">
        <row r="2">
          <cell r="AF2" t="str">
            <v>A01</v>
          </cell>
          <cell r="AG2" t="str">
            <v>TS01/TS10</v>
          </cell>
          <cell r="AH2" t="str">
            <v>TAGCTT</v>
          </cell>
          <cell r="AI2" t="str">
            <v>ATCACG</v>
          </cell>
        </row>
        <row r="3">
          <cell r="AF3" t="str">
            <v>B01</v>
          </cell>
          <cell r="AG3" t="str">
            <v>TS02/TS10</v>
          </cell>
          <cell r="AH3" t="str">
            <v>TAGCTT</v>
          </cell>
          <cell r="AI3" t="str">
            <v>CGATGT</v>
          </cell>
        </row>
        <row r="4">
          <cell r="AF4" t="str">
            <v>C01</v>
          </cell>
          <cell r="AG4" t="str">
            <v>TS03/TS10</v>
          </cell>
          <cell r="AH4" t="str">
            <v>TAGCTT</v>
          </cell>
          <cell r="AI4" t="str">
            <v>TTAGGC</v>
          </cell>
        </row>
        <row r="5">
          <cell r="AF5" t="str">
            <v>D01</v>
          </cell>
          <cell r="AG5" t="str">
            <v>TS04/TS10</v>
          </cell>
          <cell r="AH5" t="str">
            <v>TAGCTT</v>
          </cell>
          <cell r="AI5" t="str">
            <v>TGACCA</v>
          </cell>
        </row>
        <row r="6">
          <cell r="AF6" t="str">
            <v>E01</v>
          </cell>
          <cell r="AG6" t="str">
            <v>TS06/TS10</v>
          </cell>
          <cell r="AH6" t="str">
            <v>TAGCTT</v>
          </cell>
          <cell r="AI6" t="str">
            <v>GCCAAT</v>
          </cell>
        </row>
        <row r="7">
          <cell r="AF7" t="str">
            <v>F01</v>
          </cell>
          <cell r="AG7" t="str">
            <v>TS08/TS10</v>
          </cell>
          <cell r="AH7" t="str">
            <v>TAGCTT</v>
          </cell>
          <cell r="AI7" t="str">
            <v>ACTTGA</v>
          </cell>
        </row>
        <row r="8">
          <cell r="AF8" t="str">
            <v>G01</v>
          </cell>
          <cell r="AG8" t="str">
            <v>TS07/TS10</v>
          </cell>
          <cell r="AH8" t="str">
            <v>TAGCTT</v>
          </cell>
          <cell r="AI8" t="str">
            <v>CAGATC</v>
          </cell>
        </row>
        <row r="9">
          <cell r="AF9" t="str">
            <v>H01</v>
          </cell>
          <cell r="AG9" t="str">
            <v>TS09/TS10</v>
          </cell>
          <cell r="AH9" t="str">
            <v>TAGCTT</v>
          </cell>
          <cell r="AI9" t="str">
            <v>GATCAG</v>
          </cell>
        </row>
        <row r="10">
          <cell r="AF10" t="str">
            <v>A02</v>
          </cell>
          <cell r="AG10" t="str">
            <v>TS01/TS13</v>
          </cell>
          <cell r="AH10" t="str">
            <v>AGTCAA</v>
          </cell>
          <cell r="AI10" t="str">
            <v>ATCACG</v>
          </cell>
        </row>
        <row r="11">
          <cell r="AF11" t="str">
            <v>B02</v>
          </cell>
          <cell r="AG11" t="str">
            <v>TS02/TS13</v>
          </cell>
          <cell r="AH11" t="str">
            <v>AGTCAA</v>
          </cell>
          <cell r="AI11" t="str">
            <v>CGATGT</v>
          </cell>
        </row>
        <row r="12">
          <cell r="AF12" t="str">
            <v>C02</v>
          </cell>
          <cell r="AG12" t="str">
            <v>TS03/TS13</v>
          </cell>
          <cell r="AH12" t="str">
            <v>AGTCAA</v>
          </cell>
          <cell r="AI12" t="str">
            <v>TTAGGC</v>
          </cell>
        </row>
        <row r="13">
          <cell r="AF13" t="str">
            <v>D02</v>
          </cell>
          <cell r="AG13" t="str">
            <v>TS04/TS13</v>
          </cell>
          <cell r="AH13" t="str">
            <v>AGTCAA</v>
          </cell>
          <cell r="AI13" t="str">
            <v>TGACCA</v>
          </cell>
        </row>
        <row r="14">
          <cell r="AF14" t="str">
            <v>E02</v>
          </cell>
          <cell r="AG14" t="str">
            <v>TS06/TS13</v>
          </cell>
          <cell r="AH14" t="str">
            <v>AGTCAA</v>
          </cell>
          <cell r="AI14" t="str">
            <v>GCCAAT</v>
          </cell>
        </row>
        <row r="15">
          <cell r="AF15" t="str">
            <v>F02</v>
          </cell>
          <cell r="AG15" t="str">
            <v>TS08/TS13</v>
          </cell>
          <cell r="AH15" t="str">
            <v>AGTCAA</v>
          </cell>
          <cell r="AI15" t="str">
            <v>ACTTGA</v>
          </cell>
        </row>
        <row r="16">
          <cell r="AF16" t="str">
            <v>G02</v>
          </cell>
          <cell r="AG16" t="str">
            <v>TS07/TS13</v>
          </cell>
          <cell r="AH16" t="str">
            <v>AGTCAA</v>
          </cell>
          <cell r="AI16" t="str">
            <v>CAGATC</v>
          </cell>
        </row>
        <row r="17">
          <cell r="AF17" t="str">
            <v>H02</v>
          </cell>
          <cell r="AG17" t="str">
            <v>TS09/TS13</v>
          </cell>
          <cell r="AH17" t="str">
            <v>AGTCAA</v>
          </cell>
          <cell r="AI17" t="str">
            <v>GATCAG</v>
          </cell>
        </row>
        <row r="18">
          <cell r="AF18" t="str">
            <v>A03</v>
          </cell>
          <cell r="AG18" t="str">
            <v>TS01/TS16</v>
          </cell>
          <cell r="AH18" t="str">
            <v>CCGTCC</v>
          </cell>
          <cell r="AI18" t="str">
            <v>ATCACG</v>
          </cell>
        </row>
        <row r="19">
          <cell r="AF19" t="str">
            <v>B03</v>
          </cell>
          <cell r="AG19" t="str">
            <v>TS02/TS16</v>
          </cell>
          <cell r="AH19" t="str">
            <v>CCGTCC</v>
          </cell>
          <cell r="AI19" t="str">
            <v>CGATGT</v>
          </cell>
        </row>
        <row r="20">
          <cell r="AF20" t="str">
            <v>C03</v>
          </cell>
          <cell r="AG20" t="str">
            <v>TS03/TS16</v>
          </cell>
          <cell r="AH20" t="str">
            <v>CCGTCC</v>
          </cell>
          <cell r="AI20" t="str">
            <v>TTAGGC</v>
          </cell>
        </row>
        <row r="21">
          <cell r="AF21" t="str">
            <v>D03</v>
          </cell>
          <cell r="AG21" t="str">
            <v>TS04/TS16</v>
          </cell>
          <cell r="AH21" t="str">
            <v>CCGTCC</v>
          </cell>
          <cell r="AI21" t="str">
            <v>TGACCA</v>
          </cell>
        </row>
        <row r="22">
          <cell r="AF22" t="str">
            <v>E03</v>
          </cell>
          <cell r="AG22" t="str">
            <v>TS06/TS16</v>
          </cell>
          <cell r="AH22" t="str">
            <v>CCGTCC</v>
          </cell>
          <cell r="AI22" t="str">
            <v>GCCAAT</v>
          </cell>
        </row>
        <row r="23">
          <cell r="AF23" t="str">
            <v>F03</v>
          </cell>
          <cell r="AG23" t="str">
            <v>TS08/TS16</v>
          </cell>
          <cell r="AH23" t="str">
            <v>CCGTCC</v>
          </cell>
          <cell r="AI23" t="str">
            <v>ACTTGA</v>
          </cell>
        </row>
        <row r="24">
          <cell r="AF24" t="str">
            <v>G03</v>
          </cell>
          <cell r="AG24" t="str">
            <v>TS07/TS16</v>
          </cell>
          <cell r="AH24" t="str">
            <v>CCGTCC</v>
          </cell>
          <cell r="AI24" t="str">
            <v>CAGATC</v>
          </cell>
        </row>
        <row r="25">
          <cell r="AF25" t="str">
            <v>H03</v>
          </cell>
          <cell r="AG25" t="str">
            <v>TS09/TS16</v>
          </cell>
          <cell r="AH25" t="str">
            <v>CCGTCC</v>
          </cell>
          <cell r="AI25" t="str">
            <v>GATCAG</v>
          </cell>
        </row>
        <row r="26">
          <cell r="AF26" t="str">
            <v>A04</v>
          </cell>
          <cell r="AG26" t="str">
            <v>TS01/TS17</v>
          </cell>
          <cell r="AH26" t="str">
            <v>GTAGAG</v>
          </cell>
          <cell r="AI26" t="str">
            <v>ATCACG</v>
          </cell>
        </row>
        <row r="27">
          <cell r="AF27" t="str">
            <v>B04</v>
          </cell>
          <cell r="AG27" t="str">
            <v>TS02/TS17</v>
          </cell>
          <cell r="AH27" t="str">
            <v>GTAGAG</v>
          </cell>
          <cell r="AI27" t="str">
            <v>CGATGT</v>
          </cell>
        </row>
        <row r="28">
          <cell r="AF28" t="str">
            <v>C04</v>
          </cell>
          <cell r="AG28" t="str">
            <v>TS03/TS17</v>
          </cell>
          <cell r="AH28" t="str">
            <v>GTAGAG</v>
          </cell>
          <cell r="AI28" t="str">
            <v>TTAGGC</v>
          </cell>
        </row>
        <row r="29">
          <cell r="AF29" t="str">
            <v>D04</v>
          </cell>
          <cell r="AG29" t="str">
            <v>TS04/TS17</v>
          </cell>
          <cell r="AH29" t="str">
            <v>GTAGAG</v>
          </cell>
          <cell r="AI29" t="str">
            <v>TGACCA</v>
          </cell>
        </row>
        <row r="30">
          <cell r="AF30" t="str">
            <v>E04</v>
          </cell>
          <cell r="AG30" t="str">
            <v>TS06/TS17</v>
          </cell>
          <cell r="AH30" t="str">
            <v>GTAGAG</v>
          </cell>
          <cell r="AI30" t="str">
            <v>GCCAAT</v>
          </cell>
        </row>
        <row r="31">
          <cell r="AF31" t="str">
            <v>F04</v>
          </cell>
          <cell r="AG31" t="str">
            <v>TS08/TS17</v>
          </cell>
          <cell r="AH31" t="str">
            <v>GTAGAG</v>
          </cell>
          <cell r="AI31" t="str">
            <v>ACTTGA</v>
          </cell>
        </row>
        <row r="32">
          <cell r="AF32" t="str">
            <v>G04</v>
          </cell>
          <cell r="AG32" t="str">
            <v>TS07/TS17</v>
          </cell>
          <cell r="AH32" t="str">
            <v>GTAGAG</v>
          </cell>
          <cell r="AI32" t="str">
            <v>CAGATC</v>
          </cell>
        </row>
        <row r="33">
          <cell r="AF33" t="str">
            <v>H04</v>
          </cell>
          <cell r="AG33" t="str">
            <v>TS09/TS17</v>
          </cell>
          <cell r="AH33" t="str">
            <v>GTAGAG</v>
          </cell>
          <cell r="AI33" t="str">
            <v>GATCAG</v>
          </cell>
        </row>
        <row r="34">
          <cell r="AF34" t="str">
            <v>A05</v>
          </cell>
          <cell r="AG34" t="str">
            <v>TS01/TS44</v>
          </cell>
          <cell r="AH34" t="str">
            <v>TATAAT</v>
          </cell>
          <cell r="AI34" t="str">
            <v>ATCACG</v>
          </cell>
        </row>
        <row r="35">
          <cell r="AF35" t="str">
            <v>B05</v>
          </cell>
          <cell r="AG35" t="str">
            <v>TS02/TS44</v>
          </cell>
          <cell r="AH35" t="str">
            <v>TATAAT</v>
          </cell>
          <cell r="AI35" t="str">
            <v>CGATGT</v>
          </cell>
        </row>
        <row r="36">
          <cell r="AF36" t="str">
            <v>C05</v>
          </cell>
          <cell r="AG36" t="str">
            <v>TS03/TS44</v>
          </cell>
          <cell r="AH36" t="str">
            <v>TATAAT</v>
          </cell>
          <cell r="AI36" t="str">
            <v>TTAGGC</v>
          </cell>
        </row>
        <row r="37">
          <cell r="AF37" t="str">
            <v>D05</v>
          </cell>
          <cell r="AG37" t="str">
            <v>TS04/TS44</v>
          </cell>
          <cell r="AH37" t="str">
            <v>TATAAT</v>
          </cell>
          <cell r="AI37" t="str">
            <v>TGACCA</v>
          </cell>
        </row>
        <row r="38">
          <cell r="AF38" t="str">
            <v>E05</v>
          </cell>
          <cell r="AG38" t="str">
            <v>TS06/TS44</v>
          </cell>
          <cell r="AH38" t="str">
            <v>TATAAT</v>
          </cell>
          <cell r="AI38" t="str">
            <v>GCCAAT</v>
          </cell>
        </row>
        <row r="39">
          <cell r="AF39" t="str">
            <v>F05</v>
          </cell>
          <cell r="AG39" t="str">
            <v>TS08/TS44</v>
          </cell>
          <cell r="AH39" t="str">
            <v>TATAAT</v>
          </cell>
          <cell r="AI39" t="str">
            <v>ACTTGA</v>
          </cell>
        </row>
        <row r="40">
          <cell r="AF40" t="str">
            <v>G05</v>
          </cell>
          <cell r="AG40" t="str">
            <v>TS07/TS44</v>
          </cell>
          <cell r="AH40" t="str">
            <v>TATAAT</v>
          </cell>
          <cell r="AI40" t="str">
            <v>CAGATC</v>
          </cell>
        </row>
        <row r="41">
          <cell r="AF41" t="str">
            <v>H05</v>
          </cell>
          <cell r="AG41" t="str">
            <v>TS09/TS44</v>
          </cell>
          <cell r="AH41" t="str">
            <v>TATAAT</v>
          </cell>
          <cell r="AI41" t="str">
            <v>GATCAG</v>
          </cell>
        </row>
        <row r="42">
          <cell r="AF42" t="str">
            <v>A06</v>
          </cell>
          <cell r="AG42" t="str">
            <v>TS01/TS14</v>
          </cell>
          <cell r="AH42" t="str">
            <v>AGTTCC</v>
          </cell>
          <cell r="AI42" t="str">
            <v>ATCACG</v>
          </cell>
        </row>
        <row r="43">
          <cell r="AF43" t="str">
            <v>B06</v>
          </cell>
          <cell r="AG43" t="str">
            <v>TS02/TS14</v>
          </cell>
          <cell r="AH43" t="str">
            <v>AGTTCC</v>
          </cell>
          <cell r="AI43" t="str">
            <v>CGATGT</v>
          </cell>
        </row>
        <row r="44">
          <cell r="AF44" t="str">
            <v>C06</v>
          </cell>
          <cell r="AG44" t="str">
            <v>TS03/TS14</v>
          </cell>
          <cell r="AH44" t="str">
            <v>AGTTCC</v>
          </cell>
          <cell r="AI44" t="str">
            <v>TTAGGC</v>
          </cell>
        </row>
        <row r="45">
          <cell r="AF45" t="str">
            <v>D06</v>
          </cell>
          <cell r="AG45" t="str">
            <v>TS04/TS14</v>
          </cell>
          <cell r="AH45" t="str">
            <v>AGTTCC</v>
          </cell>
          <cell r="AI45" t="str">
            <v>TGACCA</v>
          </cell>
        </row>
        <row r="46">
          <cell r="AF46" t="str">
            <v>E06</v>
          </cell>
          <cell r="AG46" t="str">
            <v>TS06/TS14</v>
          </cell>
          <cell r="AH46" t="str">
            <v>AGTTCC</v>
          </cell>
          <cell r="AI46" t="str">
            <v>GCCAAT</v>
          </cell>
        </row>
        <row r="47">
          <cell r="AF47" t="str">
            <v>F06</v>
          </cell>
          <cell r="AG47" t="str">
            <v>TS08/TS14</v>
          </cell>
          <cell r="AH47" t="str">
            <v>AGTTCC</v>
          </cell>
          <cell r="AI47" t="str">
            <v>ACTTGA</v>
          </cell>
        </row>
        <row r="48">
          <cell r="AF48" t="str">
            <v>G06</v>
          </cell>
          <cell r="AG48" t="str">
            <v>TS07/TS14</v>
          </cell>
          <cell r="AH48" t="str">
            <v>AGTTCC</v>
          </cell>
          <cell r="AI48" t="str">
            <v>CAGATC</v>
          </cell>
        </row>
        <row r="49">
          <cell r="AF49" t="str">
            <v>H06</v>
          </cell>
          <cell r="AG49" t="str">
            <v>TS09/TS14</v>
          </cell>
          <cell r="AH49" t="str">
            <v>AGTTCC</v>
          </cell>
          <cell r="AI49" t="str">
            <v>GATCAG</v>
          </cell>
        </row>
        <row r="50">
          <cell r="AF50" t="str">
            <v>A07</v>
          </cell>
          <cell r="AG50" t="str">
            <v>TS01/TS22</v>
          </cell>
          <cell r="AH50" t="str">
            <v>CGTACG</v>
          </cell>
          <cell r="AI50" t="str">
            <v>ATCACG</v>
          </cell>
        </row>
        <row r="51">
          <cell r="AF51" t="str">
            <v>B07</v>
          </cell>
          <cell r="AG51" t="str">
            <v>TS02/TS22</v>
          </cell>
          <cell r="AH51" t="str">
            <v>CGTACG</v>
          </cell>
          <cell r="AI51" t="str">
            <v>CGATGT</v>
          </cell>
        </row>
        <row r="52">
          <cell r="AF52" t="str">
            <v>C07</v>
          </cell>
          <cell r="AG52" t="str">
            <v>TS03/TS22</v>
          </cell>
          <cell r="AH52" t="str">
            <v>CGTACG</v>
          </cell>
          <cell r="AI52" t="str">
            <v>TTAGGC</v>
          </cell>
        </row>
        <row r="53">
          <cell r="AF53" t="str">
            <v>D07</v>
          </cell>
          <cell r="AG53" t="str">
            <v>TS04/TS22</v>
          </cell>
          <cell r="AH53" t="str">
            <v>CGTACG</v>
          </cell>
          <cell r="AI53" t="str">
            <v>TGACCA</v>
          </cell>
        </row>
        <row r="54">
          <cell r="AF54" t="str">
            <v>E07</v>
          </cell>
          <cell r="AG54" t="str">
            <v>TS06/TS22</v>
          </cell>
          <cell r="AH54" t="str">
            <v>CGTACG</v>
          </cell>
          <cell r="AI54" t="str">
            <v>GCCAAT</v>
          </cell>
        </row>
        <row r="55">
          <cell r="AF55" t="str">
            <v>F07</v>
          </cell>
          <cell r="AG55" t="str">
            <v>TS08/TS22</v>
          </cell>
          <cell r="AH55" t="str">
            <v>CGTACG</v>
          </cell>
          <cell r="AI55" t="str">
            <v>ACTTGA</v>
          </cell>
        </row>
        <row r="56">
          <cell r="AF56" t="str">
            <v>G07</v>
          </cell>
          <cell r="AG56" t="str">
            <v>TS07/TS22</v>
          </cell>
          <cell r="AH56" t="str">
            <v>CGTACG</v>
          </cell>
          <cell r="AI56" t="str">
            <v>CAGATC</v>
          </cell>
        </row>
        <row r="57">
          <cell r="AF57" t="str">
            <v>H07</v>
          </cell>
          <cell r="AG57" t="str">
            <v>TS09/TS22</v>
          </cell>
          <cell r="AH57" t="str">
            <v>CGTACG</v>
          </cell>
          <cell r="AI57" t="str">
            <v>GATCAG</v>
          </cell>
        </row>
        <row r="58">
          <cell r="AF58" t="str">
            <v>A08</v>
          </cell>
          <cell r="AG58" t="str">
            <v>TS01/TS18</v>
          </cell>
          <cell r="AH58" t="str">
            <v>GTCCGC</v>
          </cell>
          <cell r="AI58" t="str">
            <v>ATCACG</v>
          </cell>
        </row>
        <row r="59">
          <cell r="AF59" t="str">
            <v>B08</v>
          </cell>
          <cell r="AG59" t="str">
            <v>TS02/TS18</v>
          </cell>
          <cell r="AH59" t="str">
            <v>GTCCGC</v>
          </cell>
          <cell r="AI59" t="str">
            <v>CGATGT</v>
          </cell>
        </row>
        <row r="60">
          <cell r="AF60" t="str">
            <v>C08</v>
          </cell>
          <cell r="AG60" t="str">
            <v>TS03/TS18</v>
          </cell>
          <cell r="AH60" t="str">
            <v>GTCCGC</v>
          </cell>
          <cell r="AI60" t="str">
            <v>TTAGGC</v>
          </cell>
        </row>
        <row r="61">
          <cell r="AF61" t="str">
            <v>D08</v>
          </cell>
          <cell r="AG61" t="str">
            <v>TS04/TS18</v>
          </cell>
          <cell r="AH61" t="str">
            <v>GTCCGC</v>
          </cell>
          <cell r="AI61" t="str">
            <v>TGACCA</v>
          </cell>
        </row>
        <row r="62">
          <cell r="AF62" t="str">
            <v>E08</v>
          </cell>
          <cell r="AG62" t="str">
            <v>TS06/TS18</v>
          </cell>
          <cell r="AH62" t="str">
            <v>GTCCGC</v>
          </cell>
          <cell r="AI62" t="str">
            <v>GCCAAT</v>
          </cell>
        </row>
        <row r="63">
          <cell r="AF63" t="str">
            <v>F08</v>
          </cell>
          <cell r="AG63" t="str">
            <v>TS08/TS18</v>
          </cell>
          <cell r="AH63" t="str">
            <v>GTCCGC</v>
          </cell>
          <cell r="AI63" t="str">
            <v>ACTTGA</v>
          </cell>
        </row>
        <row r="64">
          <cell r="AF64" t="str">
            <v>G08</v>
          </cell>
          <cell r="AG64" t="str">
            <v>TS07/TS18</v>
          </cell>
          <cell r="AH64" t="str">
            <v>GTCCGC</v>
          </cell>
          <cell r="AI64" t="str">
            <v>CAGATC</v>
          </cell>
        </row>
        <row r="65">
          <cell r="AF65" t="str">
            <v>H08</v>
          </cell>
          <cell r="AG65" t="str">
            <v>TS09/TS18</v>
          </cell>
          <cell r="AH65" t="str">
            <v>GTCCGC</v>
          </cell>
          <cell r="AI65" t="str">
            <v>GATCAG</v>
          </cell>
        </row>
        <row r="66">
          <cell r="AF66" t="str">
            <v>A09</v>
          </cell>
          <cell r="AG66" t="str">
            <v>TS01/TS48</v>
          </cell>
          <cell r="AH66" t="str">
            <v>TCGGCA</v>
          </cell>
          <cell r="AI66" t="str">
            <v>ATCACG</v>
          </cell>
        </row>
        <row r="67">
          <cell r="AF67" t="str">
            <v>B09</v>
          </cell>
          <cell r="AG67" t="str">
            <v>TS02/TS48</v>
          </cell>
          <cell r="AH67" t="str">
            <v>TCGGCA</v>
          </cell>
          <cell r="AI67" t="str">
            <v>CGATGT</v>
          </cell>
        </row>
        <row r="68">
          <cell r="AF68" t="str">
            <v>C09</v>
          </cell>
          <cell r="AG68" t="str">
            <v>TS03/TS48</v>
          </cell>
          <cell r="AH68" t="str">
            <v>TCGGCA</v>
          </cell>
          <cell r="AI68" t="str">
            <v>TTAGGC</v>
          </cell>
        </row>
        <row r="69">
          <cell r="AF69" t="str">
            <v>D09</v>
          </cell>
          <cell r="AG69" t="str">
            <v>TS04/TS48</v>
          </cell>
          <cell r="AH69" t="str">
            <v>TCGGCA</v>
          </cell>
          <cell r="AI69" t="str">
            <v>TGACCA</v>
          </cell>
        </row>
        <row r="70">
          <cell r="AF70" t="str">
            <v>E09</v>
          </cell>
          <cell r="AG70" t="str">
            <v>TS06/TS48</v>
          </cell>
          <cell r="AH70" t="str">
            <v>TCGGCA</v>
          </cell>
          <cell r="AI70" t="str">
            <v>GCCAAT</v>
          </cell>
        </row>
        <row r="71">
          <cell r="AF71" t="str">
            <v>F09</v>
          </cell>
          <cell r="AG71" t="str">
            <v>TS08/TS48</v>
          </cell>
          <cell r="AH71" t="str">
            <v>TCGGCA</v>
          </cell>
          <cell r="AI71" t="str">
            <v>ACTTGA</v>
          </cell>
        </row>
        <row r="72">
          <cell r="AF72" t="str">
            <v>G09</v>
          </cell>
          <cell r="AG72" t="str">
            <v>TS07/TS48</v>
          </cell>
          <cell r="AH72" t="str">
            <v>TCGGCA</v>
          </cell>
          <cell r="AI72" t="str">
            <v>CAGATC</v>
          </cell>
        </row>
        <row r="73">
          <cell r="AF73" t="str">
            <v>H09</v>
          </cell>
          <cell r="AG73" t="str">
            <v>TS09/TS48</v>
          </cell>
          <cell r="AH73" t="str">
            <v>TCGGCA</v>
          </cell>
          <cell r="AI73" t="str">
            <v>GATCAG</v>
          </cell>
        </row>
        <row r="74">
          <cell r="AF74" t="str">
            <v>A10</v>
          </cell>
          <cell r="AG74" t="str">
            <v>TS01/TS25</v>
          </cell>
          <cell r="AH74" t="str">
            <v>ACTGAT</v>
          </cell>
          <cell r="AI74" t="str">
            <v>ATCACG</v>
          </cell>
        </row>
        <row r="75">
          <cell r="AF75" t="str">
            <v>B10</v>
          </cell>
          <cell r="AG75" t="str">
            <v>TS02/TS25</v>
          </cell>
          <cell r="AH75" t="str">
            <v>ACTGAT</v>
          </cell>
          <cell r="AI75" t="str">
            <v>CGATGT</v>
          </cell>
        </row>
        <row r="76">
          <cell r="AF76" t="str">
            <v>C10</v>
          </cell>
          <cell r="AG76" t="str">
            <v>TS03/TS25</v>
          </cell>
          <cell r="AH76" t="str">
            <v>ACTGAT</v>
          </cell>
          <cell r="AI76" t="str">
            <v>TTAGGC</v>
          </cell>
        </row>
        <row r="77">
          <cell r="AF77" t="str">
            <v>D10</v>
          </cell>
          <cell r="AG77" t="str">
            <v>TS04/TS25</v>
          </cell>
          <cell r="AH77" t="str">
            <v>ACTGAT</v>
          </cell>
          <cell r="AI77" t="str">
            <v>TGACCA</v>
          </cell>
        </row>
        <row r="78">
          <cell r="AF78" t="str">
            <v>E10</v>
          </cell>
          <cell r="AG78" t="str">
            <v>TS06/TS25</v>
          </cell>
          <cell r="AH78" t="str">
            <v>ACTGAT</v>
          </cell>
          <cell r="AI78" t="str">
            <v>GCCAAT</v>
          </cell>
        </row>
        <row r="79">
          <cell r="AF79" t="str">
            <v>F10</v>
          </cell>
          <cell r="AG79" t="str">
            <v>TS08/TS25</v>
          </cell>
          <cell r="AH79" t="str">
            <v>ACTGAT</v>
          </cell>
          <cell r="AI79" t="str">
            <v>ACTTGA</v>
          </cell>
        </row>
        <row r="80">
          <cell r="AF80" t="str">
            <v>G10</v>
          </cell>
          <cell r="AG80" t="str">
            <v>TS07/TS25</v>
          </cell>
          <cell r="AH80" t="str">
            <v>ACTGAT</v>
          </cell>
          <cell r="AI80" t="str">
            <v>CAGATC</v>
          </cell>
        </row>
        <row r="81">
          <cell r="AF81" t="str">
            <v>H10</v>
          </cell>
          <cell r="AG81" t="str">
            <v>TS09/TS25</v>
          </cell>
          <cell r="AH81" t="str">
            <v>ACTGAT</v>
          </cell>
          <cell r="AI81" t="str">
            <v>GATCAG</v>
          </cell>
        </row>
        <row r="82">
          <cell r="AF82" t="str">
            <v>A11</v>
          </cell>
          <cell r="AG82" t="str">
            <v>TS01/TS28</v>
          </cell>
          <cell r="AH82" t="str">
            <v>CAAAAG</v>
          </cell>
          <cell r="AI82" t="str">
            <v>ATCACG</v>
          </cell>
        </row>
        <row r="83">
          <cell r="AF83" t="str">
            <v>B11</v>
          </cell>
          <cell r="AG83" t="str">
            <v>TS02/TS28</v>
          </cell>
          <cell r="AH83" t="str">
            <v>CAAAAG</v>
          </cell>
          <cell r="AI83" t="str">
            <v>CGATGT</v>
          </cell>
        </row>
        <row r="84">
          <cell r="AF84" t="str">
            <v>C11</v>
          </cell>
          <cell r="AG84" t="str">
            <v>TS03/TS28</v>
          </cell>
          <cell r="AH84" t="str">
            <v>CAAAAG</v>
          </cell>
          <cell r="AI84" t="str">
            <v>TTAGGC</v>
          </cell>
        </row>
        <row r="85">
          <cell r="AF85" t="str">
            <v>D11</v>
          </cell>
          <cell r="AG85" t="str">
            <v>TS04/TS28</v>
          </cell>
          <cell r="AH85" t="str">
            <v>CAAAAG</v>
          </cell>
          <cell r="AI85" t="str">
            <v>TGACCA</v>
          </cell>
        </row>
        <row r="86">
          <cell r="AF86" t="str">
            <v>E11</v>
          </cell>
          <cell r="AG86" t="str">
            <v>TS06/TS28</v>
          </cell>
          <cell r="AH86" t="str">
            <v>CAAAAG</v>
          </cell>
          <cell r="AI86" t="str">
            <v>GCCAAT</v>
          </cell>
        </row>
        <row r="87">
          <cell r="AF87" t="str">
            <v>F11</v>
          </cell>
          <cell r="AG87" t="str">
            <v>TS08/TS28</v>
          </cell>
          <cell r="AH87" t="str">
            <v>CAAAAG</v>
          </cell>
          <cell r="AI87" t="str">
            <v>ACTTGA</v>
          </cell>
        </row>
        <row r="88">
          <cell r="AF88" t="str">
            <v>G11</v>
          </cell>
          <cell r="AG88" t="str">
            <v>TS07/TS28</v>
          </cell>
          <cell r="AH88" t="str">
            <v>CAAAAG</v>
          </cell>
          <cell r="AI88" t="str">
            <v>CAGATC</v>
          </cell>
        </row>
        <row r="89">
          <cell r="AF89" t="str">
            <v>H11</v>
          </cell>
          <cell r="AG89" t="str">
            <v>TS09/TS28</v>
          </cell>
          <cell r="AH89" t="str">
            <v>CAAAAG</v>
          </cell>
          <cell r="AI89" t="str">
            <v>GATCAG</v>
          </cell>
        </row>
        <row r="90">
          <cell r="AF90" t="str">
            <v>A12</v>
          </cell>
          <cell r="AG90" t="str">
            <v>TS01/TS23</v>
          </cell>
          <cell r="AH90" t="str">
            <v>GAGTGG</v>
          </cell>
          <cell r="AI90" t="str">
            <v>ATCACG</v>
          </cell>
        </row>
        <row r="91">
          <cell r="AF91" t="str">
            <v>B12</v>
          </cell>
          <cell r="AG91" t="str">
            <v>TS02/TS23</v>
          </cell>
          <cell r="AH91" t="str">
            <v>GAGTGG</v>
          </cell>
          <cell r="AI91" t="str">
            <v>CGATGT</v>
          </cell>
        </row>
        <row r="92">
          <cell r="AF92" t="str">
            <v>C12</v>
          </cell>
          <cell r="AG92" t="str">
            <v>TS03/TS23</v>
          </cell>
          <cell r="AH92" t="str">
            <v>GAGTGG</v>
          </cell>
          <cell r="AI92" t="str">
            <v>TTAGGC</v>
          </cell>
        </row>
        <row r="93">
          <cell r="AF93" t="str">
            <v>D12</v>
          </cell>
          <cell r="AG93" t="str">
            <v>TS04/TS23</v>
          </cell>
          <cell r="AH93" t="str">
            <v>GAGTGG</v>
          </cell>
          <cell r="AI93" t="str">
            <v>TGACCA</v>
          </cell>
        </row>
        <row r="94">
          <cell r="AF94" t="str">
            <v>E12</v>
          </cell>
          <cell r="AG94" t="str">
            <v>TS06/TS23</v>
          </cell>
          <cell r="AH94" t="str">
            <v>GAGTGG</v>
          </cell>
          <cell r="AI94" t="str">
            <v>GCCAAT</v>
          </cell>
        </row>
        <row r="95">
          <cell r="AF95" t="str">
            <v>F12</v>
          </cell>
          <cell r="AG95" t="str">
            <v>TS08/TS23</v>
          </cell>
          <cell r="AH95" t="str">
            <v>GAGTGG</v>
          </cell>
          <cell r="AI95" t="str">
            <v>ACTTGA</v>
          </cell>
        </row>
        <row r="96">
          <cell r="AF96" t="str">
            <v>G12</v>
          </cell>
          <cell r="AG96" t="str">
            <v>TS07/TS23</v>
          </cell>
          <cell r="AH96" t="str">
            <v>GAGTGG</v>
          </cell>
          <cell r="AI96" t="str">
            <v>CAGATC</v>
          </cell>
        </row>
        <row r="97">
          <cell r="AF97" t="str">
            <v>H12</v>
          </cell>
          <cell r="AG97" t="str">
            <v>TS09/TS23</v>
          </cell>
          <cell r="AH97" t="str">
            <v>GAGTGG</v>
          </cell>
          <cell r="AI97" t="str">
            <v>GATCAG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ter Samples Here"/>
      <sheetName val="Plate Map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E148E-5645-6E46-B5AB-1853E6CCB75E}">
  <sheetPr codeName="Sheet1"/>
  <dimension ref="A1"/>
  <sheetViews>
    <sheetView workbookViewId="0"/>
  </sheetViews>
  <sheetFormatPr baseColWidth="10" defaultColWidth="11.1640625" defaultRowHeight="16" x14ac:dyDescent="0.2"/>
  <cols>
    <col min="1" max="1" width="14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163A9-387F-F84C-BD46-5C84811BADB0}">
  <sheetPr codeName="Sheet3"/>
  <dimension ref="A1:J97"/>
  <sheetViews>
    <sheetView tabSelected="1" workbookViewId="0">
      <selection activeCell="B2" sqref="B2"/>
    </sheetView>
  </sheetViews>
  <sheetFormatPr baseColWidth="10" defaultColWidth="11.1640625" defaultRowHeight="16" x14ac:dyDescent="0.2"/>
  <sheetData>
    <row r="1" spans="1:10" ht="49" thickBot="1" x14ac:dyDescent="0.25">
      <c r="A1" s="16" t="s">
        <v>17</v>
      </c>
      <c r="B1" s="17" t="s">
        <v>18</v>
      </c>
      <c r="C1" s="17" t="s">
        <v>10</v>
      </c>
      <c r="D1" s="18" t="s">
        <v>19</v>
      </c>
      <c r="E1" s="18" t="s">
        <v>20</v>
      </c>
      <c r="F1" s="18" t="s">
        <v>21</v>
      </c>
      <c r="G1" s="18" t="s">
        <v>22</v>
      </c>
      <c r="H1" s="18" t="s">
        <v>23</v>
      </c>
      <c r="I1" s="18" t="s">
        <v>24</v>
      </c>
      <c r="J1" s="19" t="s">
        <v>25</v>
      </c>
    </row>
    <row r="2" spans="1:10" ht="17" thickBot="1" x14ac:dyDescent="0.25">
      <c r="A2" s="20" t="s">
        <v>26</v>
      </c>
      <c r="B2" s="21"/>
      <c r="C2" s="22"/>
      <c r="D2" s="23" t="e">
        <f>VLOOKUP(C2,[1]Sheet1!#REF!:[1]Sheet1!#REF!,2,FALSE)</f>
        <v>#REF!</v>
      </c>
      <c r="E2" s="24">
        <v>10</v>
      </c>
      <c r="F2" s="24" t="e">
        <f>D2*E2</f>
        <v>#REF!</v>
      </c>
      <c r="G2" s="24">
        <f>10-E2</f>
        <v>0</v>
      </c>
      <c r="H2" s="24">
        <f>E2+G2</f>
        <v>10</v>
      </c>
      <c r="I2" s="25" t="str">
        <f>IF(C2="","",'[1]Index Plate Layout'!#REF!)</f>
        <v/>
      </c>
      <c r="J2" s="26"/>
    </row>
    <row r="3" spans="1:10" ht="17" thickBot="1" x14ac:dyDescent="0.25">
      <c r="A3" s="27" t="s">
        <v>27</v>
      </c>
      <c r="B3" s="21"/>
      <c r="C3" s="22"/>
      <c r="D3" s="23" t="e">
        <f>VLOOKUP(C3,[1]Sheet1!#REF!:[1]Sheet1!#REF!,2,FALSE)</f>
        <v>#REF!</v>
      </c>
      <c r="E3" s="23">
        <v>10</v>
      </c>
      <c r="F3" s="23" t="e">
        <f t="shared" ref="F3:F66" si="0">D3*E3</f>
        <v>#REF!</v>
      </c>
      <c r="G3" s="23">
        <f t="shared" ref="G3:G66" si="1">10-E3</f>
        <v>0</v>
      </c>
      <c r="H3" s="23">
        <f t="shared" ref="H3:H66" si="2">E3+G3</f>
        <v>10</v>
      </c>
      <c r="I3" s="25" t="str">
        <f>IF(C3="","",'[1]Index Plate Layout'!#REF!)</f>
        <v/>
      </c>
      <c r="J3" s="28"/>
    </row>
    <row r="4" spans="1:10" ht="17" thickBot="1" x14ac:dyDescent="0.25">
      <c r="A4" s="27" t="s">
        <v>28</v>
      </c>
      <c r="B4" s="21"/>
      <c r="C4" s="22"/>
      <c r="D4" s="23" t="e">
        <f>VLOOKUP(C4,[1]Sheet1!#REF!:[1]Sheet1!#REF!,2,FALSE)</f>
        <v>#REF!</v>
      </c>
      <c r="E4" s="23">
        <v>10</v>
      </c>
      <c r="F4" s="23" t="e">
        <f t="shared" si="0"/>
        <v>#REF!</v>
      </c>
      <c r="G4" s="23">
        <f t="shared" si="1"/>
        <v>0</v>
      </c>
      <c r="H4" s="23">
        <f t="shared" si="2"/>
        <v>10</v>
      </c>
      <c r="I4" s="25" t="str">
        <f>IF(C4="","",'[1]Index Plate Layout'!#REF!)</f>
        <v/>
      </c>
      <c r="J4" s="28"/>
    </row>
    <row r="5" spans="1:10" ht="17" thickBot="1" x14ac:dyDescent="0.25">
      <c r="A5" s="27" t="s">
        <v>29</v>
      </c>
      <c r="B5" s="21"/>
      <c r="C5" s="22"/>
      <c r="D5" s="23" t="e">
        <f>VLOOKUP(C5,[1]Sheet1!#REF!:[1]Sheet1!#REF!,2,FALSE)</f>
        <v>#REF!</v>
      </c>
      <c r="E5" s="23">
        <v>10</v>
      </c>
      <c r="F5" s="23" t="e">
        <f t="shared" si="0"/>
        <v>#REF!</v>
      </c>
      <c r="G5" s="23">
        <f t="shared" si="1"/>
        <v>0</v>
      </c>
      <c r="H5" s="23">
        <f t="shared" si="2"/>
        <v>10</v>
      </c>
      <c r="I5" s="25" t="str">
        <f>IF(C5="","",'[1]Index Plate Layout'!#REF!)</f>
        <v/>
      </c>
      <c r="J5" s="28"/>
    </row>
    <row r="6" spans="1:10" ht="17" thickBot="1" x14ac:dyDescent="0.25">
      <c r="A6" s="27" t="s">
        <v>30</v>
      </c>
      <c r="B6" s="21"/>
      <c r="C6" s="22"/>
      <c r="D6" s="23" t="e">
        <f>VLOOKUP(C6,[1]Sheet1!#REF!:[1]Sheet1!#REF!,2,FALSE)</f>
        <v>#REF!</v>
      </c>
      <c r="E6" s="23">
        <v>10</v>
      </c>
      <c r="F6" s="23" t="e">
        <f t="shared" si="0"/>
        <v>#REF!</v>
      </c>
      <c r="G6" s="23">
        <f t="shared" si="1"/>
        <v>0</v>
      </c>
      <c r="H6" s="23">
        <f t="shared" si="2"/>
        <v>10</v>
      </c>
      <c r="I6" s="25" t="str">
        <f>IF(C6="","",'[1]Index Plate Layout'!#REF!)</f>
        <v/>
      </c>
      <c r="J6" s="28"/>
    </row>
    <row r="7" spans="1:10" ht="17" thickBot="1" x14ac:dyDescent="0.25">
      <c r="A7" s="27" t="s">
        <v>31</v>
      </c>
      <c r="B7" s="21"/>
      <c r="C7" s="22"/>
      <c r="D7" s="23" t="e">
        <f>VLOOKUP(C7,[1]Sheet1!#REF!:[1]Sheet1!#REF!,2,FALSE)</f>
        <v>#REF!</v>
      </c>
      <c r="E7" s="23">
        <v>10</v>
      </c>
      <c r="F7" s="23" t="e">
        <f t="shared" si="0"/>
        <v>#REF!</v>
      </c>
      <c r="G7" s="23">
        <f t="shared" si="1"/>
        <v>0</v>
      </c>
      <c r="H7" s="23">
        <f t="shared" si="2"/>
        <v>10</v>
      </c>
      <c r="I7" s="25" t="str">
        <f>IF(C7="","",'[1]Index Plate Layout'!#REF!)</f>
        <v/>
      </c>
      <c r="J7" s="28"/>
    </row>
    <row r="8" spans="1:10" ht="17" thickBot="1" x14ac:dyDescent="0.25">
      <c r="A8" s="27" t="s">
        <v>32</v>
      </c>
      <c r="B8" s="21"/>
      <c r="C8" s="22"/>
      <c r="D8" s="23" t="e">
        <f>VLOOKUP(C8,[1]Sheet1!#REF!:[1]Sheet1!#REF!,2,FALSE)</f>
        <v>#REF!</v>
      </c>
      <c r="E8" s="23">
        <v>10</v>
      </c>
      <c r="F8" s="23" t="e">
        <f t="shared" si="0"/>
        <v>#REF!</v>
      </c>
      <c r="G8" s="23">
        <f t="shared" si="1"/>
        <v>0</v>
      </c>
      <c r="H8" s="23">
        <f t="shared" si="2"/>
        <v>10</v>
      </c>
      <c r="I8" s="25" t="str">
        <f>IF(C8="","",'[1]Index Plate Layout'!#REF!)</f>
        <v/>
      </c>
      <c r="J8" s="28"/>
    </row>
    <row r="9" spans="1:10" ht="17" thickBot="1" x14ac:dyDescent="0.25">
      <c r="A9" s="27" t="s">
        <v>33</v>
      </c>
      <c r="B9" s="21"/>
      <c r="C9" s="22"/>
      <c r="D9" s="23" t="e">
        <f>VLOOKUP(C9,[1]Sheet1!#REF!:[1]Sheet1!#REF!,2,FALSE)</f>
        <v>#REF!</v>
      </c>
      <c r="E9" s="23">
        <v>10</v>
      </c>
      <c r="F9" s="23" t="e">
        <f t="shared" si="0"/>
        <v>#REF!</v>
      </c>
      <c r="G9" s="23">
        <f t="shared" si="1"/>
        <v>0</v>
      </c>
      <c r="H9" s="23">
        <f t="shared" si="2"/>
        <v>10</v>
      </c>
      <c r="I9" s="25" t="str">
        <f>IF(C9="","",'[1]Index Plate Layout'!#REF!)</f>
        <v/>
      </c>
      <c r="J9" s="28"/>
    </row>
    <row r="10" spans="1:10" ht="17" thickBot="1" x14ac:dyDescent="0.25">
      <c r="A10" s="27" t="s">
        <v>34</v>
      </c>
      <c r="B10" s="21"/>
      <c r="C10" s="29"/>
      <c r="D10" s="23" t="e">
        <f>VLOOKUP(C10,[1]Sheet1!#REF!:[1]Sheet1!#REF!,2,FALSE)</f>
        <v>#REF!</v>
      </c>
      <c r="E10" s="23">
        <v>10</v>
      </c>
      <c r="F10" s="23" t="e">
        <f t="shared" si="0"/>
        <v>#REF!</v>
      </c>
      <c r="G10" s="23">
        <f t="shared" si="1"/>
        <v>0</v>
      </c>
      <c r="H10" s="23">
        <f t="shared" si="2"/>
        <v>10</v>
      </c>
      <c r="I10" s="25" t="str">
        <f>IF(C10="","",'[1]Index Plate Layout'!#REF!)</f>
        <v/>
      </c>
      <c r="J10" s="28"/>
    </row>
    <row r="11" spans="1:10" ht="17" thickBot="1" x14ac:dyDescent="0.25">
      <c r="A11" s="27" t="s">
        <v>35</v>
      </c>
      <c r="B11" s="21"/>
      <c r="C11" s="29"/>
      <c r="D11" s="23" t="e">
        <f>VLOOKUP(C11,[1]Sheet1!#REF!:[1]Sheet1!#REF!,2,FALSE)</f>
        <v>#REF!</v>
      </c>
      <c r="E11" s="23">
        <v>10</v>
      </c>
      <c r="F11" s="23" t="e">
        <f t="shared" si="0"/>
        <v>#REF!</v>
      </c>
      <c r="G11" s="23">
        <f t="shared" si="1"/>
        <v>0</v>
      </c>
      <c r="H11" s="23">
        <f t="shared" si="2"/>
        <v>10</v>
      </c>
      <c r="I11" s="25" t="str">
        <f>IF(C11="","",'[1]Index Plate Layout'!#REF!)</f>
        <v/>
      </c>
      <c r="J11" s="28"/>
    </row>
    <row r="12" spans="1:10" ht="17" thickBot="1" x14ac:dyDescent="0.25">
      <c r="A12" s="27" t="s">
        <v>36</v>
      </c>
      <c r="B12" s="21"/>
      <c r="C12" s="29"/>
      <c r="D12" s="23" t="e">
        <f>VLOOKUP(C12,[1]Sheet1!#REF!:[1]Sheet1!#REF!,2,FALSE)</f>
        <v>#REF!</v>
      </c>
      <c r="E12" s="23">
        <v>10</v>
      </c>
      <c r="F12" s="23" t="e">
        <f t="shared" si="0"/>
        <v>#REF!</v>
      </c>
      <c r="G12" s="23">
        <f t="shared" si="1"/>
        <v>0</v>
      </c>
      <c r="H12" s="23">
        <f t="shared" si="2"/>
        <v>10</v>
      </c>
      <c r="I12" s="25" t="str">
        <f>IF(C12="","",'[1]Index Plate Layout'!#REF!)</f>
        <v/>
      </c>
      <c r="J12" s="28"/>
    </row>
    <row r="13" spans="1:10" ht="17" thickBot="1" x14ac:dyDescent="0.25">
      <c r="A13" s="27" t="s">
        <v>37</v>
      </c>
      <c r="B13" s="21"/>
      <c r="C13" s="29"/>
      <c r="D13" s="23" t="e">
        <f>VLOOKUP(C13,[1]Sheet1!#REF!:[1]Sheet1!#REF!,2,FALSE)</f>
        <v>#REF!</v>
      </c>
      <c r="E13" s="23">
        <v>10</v>
      </c>
      <c r="F13" s="23" t="e">
        <f t="shared" si="0"/>
        <v>#REF!</v>
      </c>
      <c r="G13" s="23">
        <f t="shared" si="1"/>
        <v>0</v>
      </c>
      <c r="H13" s="23">
        <f t="shared" si="2"/>
        <v>10</v>
      </c>
      <c r="I13" s="25" t="str">
        <f>IF(C13="","",'[1]Index Plate Layout'!#REF!)</f>
        <v/>
      </c>
      <c r="J13" s="28"/>
    </row>
    <row r="14" spans="1:10" ht="17" thickBot="1" x14ac:dyDescent="0.25">
      <c r="A14" s="27" t="s">
        <v>38</v>
      </c>
      <c r="B14" s="21"/>
      <c r="C14" s="29"/>
      <c r="D14" s="23" t="e">
        <f>VLOOKUP(C14,[1]Sheet1!#REF!:[1]Sheet1!#REF!,2,FALSE)</f>
        <v>#REF!</v>
      </c>
      <c r="E14" s="23">
        <v>10</v>
      </c>
      <c r="F14" s="23" t="e">
        <f t="shared" si="0"/>
        <v>#REF!</v>
      </c>
      <c r="G14" s="23">
        <f t="shared" si="1"/>
        <v>0</v>
      </c>
      <c r="H14" s="23">
        <f t="shared" si="2"/>
        <v>10</v>
      </c>
      <c r="I14" s="25" t="str">
        <f>IF(C14="","",'[1]Index Plate Layout'!#REF!)</f>
        <v/>
      </c>
      <c r="J14" s="28"/>
    </row>
    <row r="15" spans="1:10" ht="17" thickBot="1" x14ac:dyDescent="0.25">
      <c r="A15" s="27" t="s">
        <v>39</v>
      </c>
      <c r="B15" s="21"/>
      <c r="C15" s="29"/>
      <c r="D15" s="23" t="e">
        <f>VLOOKUP(C15,[1]Sheet1!#REF!:[1]Sheet1!#REF!,2,FALSE)</f>
        <v>#REF!</v>
      </c>
      <c r="E15" s="23">
        <v>10</v>
      </c>
      <c r="F15" s="23" t="e">
        <f t="shared" si="0"/>
        <v>#REF!</v>
      </c>
      <c r="G15" s="23">
        <f t="shared" si="1"/>
        <v>0</v>
      </c>
      <c r="H15" s="23">
        <f t="shared" si="2"/>
        <v>10</v>
      </c>
      <c r="I15" s="25" t="str">
        <f>IF(C15="","",'[1]Index Plate Layout'!#REF!)</f>
        <v/>
      </c>
      <c r="J15" s="28"/>
    </row>
    <row r="16" spans="1:10" ht="17" thickBot="1" x14ac:dyDescent="0.25">
      <c r="A16" s="27" t="s">
        <v>40</v>
      </c>
      <c r="B16" s="21"/>
      <c r="C16" s="29"/>
      <c r="D16" s="23" t="e">
        <f>VLOOKUP(C16,[1]Sheet1!#REF!:[1]Sheet1!#REF!,2,FALSE)</f>
        <v>#REF!</v>
      </c>
      <c r="E16" s="23">
        <v>10</v>
      </c>
      <c r="F16" s="23" t="e">
        <f t="shared" si="0"/>
        <v>#REF!</v>
      </c>
      <c r="G16" s="23">
        <f t="shared" si="1"/>
        <v>0</v>
      </c>
      <c r="H16" s="23">
        <f t="shared" si="2"/>
        <v>10</v>
      </c>
      <c r="I16" s="25" t="str">
        <f>IF(C16="","",'[1]Index Plate Layout'!#REF!)</f>
        <v/>
      </c>
      <c r="J16" s="28"/>
    </row>
    <row r="17" spans="1:10" ht="17" thickBot="1" x14ac:dyDescent="0.25">
      <c r="A17" s="27" t="s">
        <v>41</v>
      </c>
      <c r="B17" s="21"/>
      <c r="C17" s="29"/>
      <c r="D17" s="23" t="e">
        <f>VLOOKUP(C17,[1]Sheet1!#REF!:[1]Sheet1!#REF!,2,FALSE)</f>
        <v>#REF!</v>
      </c>
      <c r="E17" s="23">
        <v>10</v>
      </c>
      <c r="F17" s="23" t="e">
        <f t="shared" si="0"/>
        <v>#REF!</v>
      </c>
      <c r="G17" s="23">
        <f t="shared" si="1"/>
        <v>0</v>
      </c>
      <c r="H17" s="23">
        <f t="shared" si="2"/>
        <v>10</v>
      </c>
      <c r="I17" s="25" t="str">
        <f>IF(C17="","",'[1]Index Plate Layout'!#REF!)</f>
        <v/>
      </c>
      <c r="J17" s="28"/>
    </row>
    <row r="18" spans="1:10" ht="17" thickBot="1" x14ac:dyDescent="0.25">
      <c r="A18" s="27" t="s">
        <v>42</v>
      </c>
      <c r="B18" s="21"/>
      <c r="C18" s="29"/>
      <c r="D18" s="23" t="e">
        <f>VLOOKUP(C18,[1]Sheet1!#REF!:[1]Sheet1!#REF!,2,FALSE)</f>
        <v>#REF!</v>
      </c>
      <c r="E18" s="23">
        <v>10</v>
      </c>
      <c r="F18" s="23" t="e">
        <f t="shared" si="0"/>
        <v>#REF!</v>
      </c>
      <c r="G18" s="23">
        <f t="shared" si="1"/>
        <v>0</v>
      </c>
      <c r="H18" s="23">
        <f t="shared" si="2"/>
        <v>10</v>
      </c>
      <c r="I18" s="25" t="str">
        <f>IF(C18="","",'[1]Index Plate Layout'!#REF!)</f>
        <v/>
      </c>
      <c r="J18" s="28"/>
    </row>
    <row r="19" spans="1:10" ht="17" thickBot="1" x14ac:dyDescent="0.25">
      <c r="A19" s="27" t="s">
        <v>43</v>
      </c>
      <c r="B19" s="21"/>
      <c r="C19" s="29"/>
      <c r="D19" s="23" t="e">
        <f>VLOOKUP(C19,[1]Sheet1!#REF!:[1]Sheet1!#REF!,2,FALSE)</f>
        <v>#REF!</v>
      </c>
      <c r="E19" s="23">
        <v>10</v>
      </c>
      <c r="F19" s="23" t="e">
        <f t="shared" si="0"/>
        <v>#REF!</v>
      </c>
      <c r="G19" s="23">
        <f t="shared" si="1"/>
        <v>0</v>
      </c>
      <c r="H19" s="23">
        <f t="shared" si="2"/>
        <v>10</v>
      </c>
      <c r="I19" s="25" t="str">
        <f>IF(C19="","",'[1]Index Plate Layout'!#REF!)</f>
        <v/>
      </c>
      <c r="J19" s="28"/>
    </row>
    <row r="20" spans="1:10" ht="17" thickBot="1" x14ac:dyDescent="0.25">
      <c r="A20" s="27" t="s">
        <v>44</v>
      </c>
      <c r="B20" s="21"/>
      <c r="C20" s="29"/>
      <c r="D20" s="23" t="e">
        <f>VLOOKUP(C20,[1]Sheet1!#REF!:[1]Sheet1!#REF!,2,FALSE)</f>
        <v>#REF!</v>
      </c>
      <c r="E20" s="23">
        <v>10</v>
      </c>
      <c r="F20" s="23" t="e">
        <f t="shared" si="0"/>
        <v>#REF!</v>
      </c>
      <c r="G20" s="23">
        <f t="shared" si="1"/>
        <v>0</v>
      </c>
      <c r="H20" s="23">
        <f t="shared" si="2"/>
        <v>10</v>
      </c>
      <c r="I20" s="25" t="str">
        <f>IF(C20="","",'[1]Index Plate Layout'!#REF!)</f>
        <v/>
      </c>
      <c r="J20" s="28"/>
    </row>
    <row r="21" spans="1:10" ht="17" thickBot="1" x14ac:dyDescent="0.25">
      <c r="A21" s="27" t="s">
        <v>45</v>
      </c>
      <c r="B21" s="21"/>
      <c r="C21" s="29"/>
      <c r="D21" s="23" t="e">
        <f>VLOOKUP(C21,[1]Sheet1!#REF!:[1]Sheet1!#REF!,2,FALSE)</f>
        <v>#REF!</v>
      </c>
      <c r="E21" s="23">
        <v>10</v>
      </c>
      <c r="F21" s="23" t="e">
        <f t="shared" si="0"/>
        <v>#REF!</v>
      </c>
      <c r="G21" s="23">
        <f t="shared" si="1"/>
        <v>0</v>
      </c>
      <c r="H21" s="23">
        <f t="shared" si="2"/>
        <v>10</v>
      </c>
      <c r="I21" s="25" t="str">
        <f>IF(C21="","",'[1]Index Plate Layout'!#REF!)</f>
        <v/>
      </c>
      <c r="J21" s="28"/>
    </row>
    <row r="22" spans="1:10" ht="17" thickBot="1" x14ac:dyDescent="0.25">
      <c r="A22" s="27" t="s">
        <v>46</v>
      </c>
      <c r="B22" s="21"/>
      <c r="C22" s="29"/>
      <c r="D22" s="23" t="e">
        <f>VLOOKUP(C22,[1]Sheet1!#REF!:[1]Sheet1!#REF!,2,FALSE)</f>
        <v>#REF!</v>
      </c>
      <c r="E22" s="23">
        <v>10</v>
      </c>
      <c r="F22" s="23" t="e">
        <f t="shared" si="0"/>
        <v>#REF!</v>
      </c>
      <c r="G22" s="23">
        <f t="shared" si="1"/>
        <v>0</v>
      </c>
      <c r="H22" s="23">
        <f t="shared" si="2"/>
        <v>10</v>
      </c>
      <c r="I22" s="25" t="str">
        <f>IF(C22="","",'[1]Index Plate Layout'!#REF!)</f>
        <v/>
      </c>
      <c r="J22" s="28"/>
    </row>
    <row r="23" spans="1:10" ht="17" thickBot="1" x14ac:dyDescent="0.25">
      <c r="A23" s="27" t="s">
        <v>47</v>
      </c>
      <c r="B23" s="21"/>
      <c r="C23" s="29"/>
      <c r="D23" s="23" t="e">
        <f>VLOOKUP(C23,[1]Sheet1!#REF!:[1]Sheet1!#REF!,2,FALSE)</f>
        <v>#REF!</v>
      </c>
      <c r="E23" s="23">
        <v>10</v>
      </c>
      <c r="F23" s="23" t="e">
        <f t="shared" si="0"/>
        <v>#REF!</v>
      </c>
      <c r="G23" s="23">
        <f t="shared" si="1"/>
        <v>0</v>
      </c>
      <c r="H23" s="23">
        <f t="shared" si="2"/>
        <v>10</v>
      </c>
      <c r="I23" s="25" t="str">
        <f>IF(C23="","",'[1]Index Plate Layout'!#REF!)</f>
        <v/>
      </c>
      <c r="J23" s="28"/>
    </row>
    <row r="24" spans="1:10" ht="17" thickBot="1" x14ac:dyDescent="0.25">
      <c r="A24" s="27" t="s">
        <v>48</v>
      </c>
      <c r="B24" s="21"/>
      <c r="C24" s="29"/>
      <c r="D24" s="23" t="e">
        <f>VLOOKUP(C24,[1]Sheet1!#REF!:[1]Sheet1!#REF!,2,FALSE)</f>
        <v>#REF!</v>
      </c>
      <c r="E24" s="23">
        <v>10</v>
      </c>
      <c r="F24" s="23" t="e">
        <f t="shared" si="0"/>
        <v>#REF!</v>
      </c>
      <c r="G24" s="23">
        <f t="shared" si="1"/>
        <v>0</v>
      </c>
      <c r="H24" s="23">
        <f t="shared" si="2"/>
        <v>10</v>
      </c>
      <c r="I24" s="25" t="str">
        <f>IF(C24="","",'[1]Index Plate Layout'!#REF!)</f>
        <v/>
      </c>
      <c r="J24" s="28"/>
    </row>
    <row r="25" spans="1:10" ht="17" thickBot="1" x14ac:dyDescent="0.25">
      <c r="A25" s="27" t="s">
        <v>49</v>
      </c>
      <c r="B25" s="21"/>
      <c r="C25" s="29"/>
      <c r="D25" s="23" t="e">
        <f>VLOOKUP(C25,[1]Sheet1!#REF!:[1]Sheet1!#REF!,2,FALSE)</f>
        <v>#REF!</v>
      </c>
      <c r="E25" s="23">
        <v>10</v>
      </c>
      <c r="F25" s="23" t="e">
        <f t="shared" si="0"/>
        <v>#REF!</v>
      </c>
      <c r="G25" s="23">
        <f t="shared" si="1"/>
        <v>0</v>
      </c>
      <c r="H25" s="23">
        <f t="shared" si="2"/>
        <v>10</v>
      </c>
      <c r="I25" s="25" t="str">
        <f>IF(C25="","",'[1]Index Plate Layout'!#REF!)</f>
        <v/>
      </c>
      <c r="J25" s="28"/>
    </row>
    <row r="26" spans="1:10" ht="17" thickBot="1" x14ac:dyDescent="0.25">
      <c r="A26" s="27" t="s">
        <v>50</v>
      </c>
      <c r="B26" s="21"/>
      <c r="C26" s="29"/>
      <c r="D26" s="23" t="e">
        <f>VLOOKUP(C26,[1]Sheet1!#REF!:[1]Sheet1!#REF!,2,FALSE)</f>
        <v>#REF!</v>
      </c>
      <c r="E26" s="23">
        <v>10</v>
      </c>
      <c r="F26" s="23" t="e">
        <f t="shared" si="0"/>
        <v>#REF!</v>
      </c>
      <c r="G26" s="23">
        <f t="shared" si="1"/>
        <v>0</v>
      </c>
      <c r="H26" s="23">
        <f t="shared" si="2"/>
        <v>10</v>
      </c>
      <c r="I26" s="25" t="str">
        <f>IF(C26="","",'[1]Index Plate Layout'!#REF!)</f>
        <v/>
      </c>
      <c r="J26" s="28"/>
    </row>
    <row r="27" spans="1:10" ht="17" thickBot="1" x14ac:dyDescent="0.25">
      <c r="A27" s="27" t="s">
        <v>51</v>
      </c>
      <c r="B27" s="21"/>
      <c r="C27" s="29"/>
      <c r="D27" s="23" t="e">
        <f>VLOOKUP(C27,[1]Sheet1!#REF!:[1]Sheet1!#REF!,2,FALSE)</f>
        <v>#REF!</v>
      </c>
      <c r="E27" s="23">
        <v>10</v>
      </c>
      <c r="F27" s="23" t="e">
        <f t="shared" si="0"/>
        <v>#REF!</v>
      </c>
      <c r="G27" s="23">
        <f t="shared" si="1"/>
        <v>0</v>
      </c>
      <c r="H27" s="23">
        <f t="shared" si="2"/>
        <v>10</v>
      </c>
      <c r="I27" s="25" t="str">
        <f>IF(C27="","",'[1]Index Plate Layout'!#REF!)</f>
        <v/>
      </c>
      <c r="J27" s="28"/>
    </row>
    <row r="28" spans="1:10" ht="17" thickBot="1" x14ac:dyDescent="0.25">
      <c r="A28" s="27" t="s">
        <v>52</v>
      </c>
      <c r="B28" s="21"/>
      <c r="C28" s="29"/>
      <c r="D28" s="23" t="e">
        <f>VLOOKUP(C28,[1]Sheet1!#REF!:[1]Sheet1!#REF!,2,FALSE)</f>
        <v>#REF!</v>
      </c>
      <c r="E28" s="23">
        <v>10</v>
      </c>
      <c r="F28" s="23" t="e">
        <f t="shared" si="0"/>
        <v>#REF!</v>
      </c>
      <c r="G28" s="23">
        <f t="shared" si="1"/>
        <v>0</v>
      </c>
      <c r="H28" s="23">
        <f t="shared" si="2"/>
        <v>10</v>
      </c>
      <c r="I28" s="25" t="str">
        <f>IF(C28="","",'[1]Index Plate Layout'!#REF!)</f>
        <v/>
      </c>
      <c r="J28" s="28"/>
    </row>
    <row r="29" spans="1:10" ht="17" thickBot="1" x14ac:dyDescent="0.25">
      <c r="A29" s="27" t="s">
        <v>53</v>
      </c>
      <c r="B29" s="21"/>
      <c r="C29" s="29"/>
      <c r="D29" s="23" t="e">
        <f>VLOOKUP(C29,[1]Sheet1!#REF!:[1]Sheet1!#REF!,2,FALSE)</f>
        <v>#REF!</v>
      </c>
      <c r="E29" s="23">
        <v>10</v>
      </c>
      <c r="F29" s="23" t="e">
        <f t="shared" si="0"/>
        <v>#REF!</v>
      </c>
      <c r="G29" s="23">
        <f t="shared" si="1"/>
        <v>0</v>
      </c>
      <c r="H29" s="23">
        <f t="shared" si="2"/>
        <v>10</v>
      </c>
      <c r="I29" s="25" t="str">
        <f>IF(C29="","",'[1]Index Plate Layout'!#REF!)</f>
        <v/>
      </c>
      <c r="J29" s="28"/>
    </row>
    <row r="30" spans="1:10" ht="17" thickBot="1" x14ac:dyDescent="0.25">
      <c r="A30" s="27" t="s">
        <v>54</v>
      </c>
      <c r="B30" s="21"/>
      <c r="C30" s="29"/>
      <c r="D30" s="23" t="e">
        <f>VLOOKUP(C30,[1]Sheet1!#REF!:[1]Sheet1!#REF!,2,FALSE)</f>
        <v>#REF!</v>
      </c>
      <c r="E30" s="23">
        <v>10</v>
      </c>
      <c r="F30" s="23" t="e">
        <f t="shared" si="0"/>
        <v>#REF!</v>
      </c>
      <c r="G30" s="23">
        <f t="shared" si="1"/>
        <v>0</v>
      </c>
      <c r="H30" s="23">
        <f t="shared" si="2"/>
        <v>10</v>
      </c>
      <c r="I30" s="25" t="str">
        <f>IF(C30="","",'[1]Index Plate Layout'!#REF!)</f>
        <v/>
      </c>
      <c r="J30" s="28"/>
    </row>
    <row r="31" spans="1:10" ht="17" thickBot="1" x14ac:dyDescent="0.25">
      <c r="A31" s="27" t="s">
        <v>55</v>
      </c>
      <c r="B31" s="21"/>
      <c r="C31" s="29"/>
      <c r="D31" s="23" t="e">
        <f>VLOOKUP(C31,[1]Sheet1!#REF!:[1]Sheet1!#REF!,2,FALSE)</f>
        <v>#REF!</v>
      </c>
      <c r="E31" s="23">
        <v>10</v>
      </c>
      <c r="F31" s="23" t="e">
        <f t="shared" si="0"/>
        <v>#REF!</v>
      </c>
      <c r="G31" s="23">
        <f t="shared" si="1"/>
        <v>0</v>
      </c>
      <c r="H31" s="23">
        <f t="shared" si="2"/>
        <v>10</v>
      </c>
      <c r="I31" s="25" t="str">
        <f>IF(C31="","",'[1]Index Plate Layout'!#REF!)</f>
        <v/>
      </c>
      <c r="J31" s="28"/>
    </row>
    <row r="32" spans="1:10" ht="17" thickBot="1" x14ac:dyDescent="0.25">
      <c r="A32" s="27" t="s">
        <v>56</v>
      </c>
      <c r="B32" s="21"/>
      <c r="C32" s="29"/>
      <c r="D32" s="23" t="e">
        <f>VLOOKUP(C32,[1]Sheet1!#REF!:[1]Sheet1!#REF!,2,FALSE)</f>
        <v>#REF!</v>
      </c>
      <c r="E32" s="23">
        <v>10</v>
      </c>
      <c r="F32" s="23" t="e">
        <f t="shared" si="0"/>
        <v>#REF!</v>
      </c>
      <c r="G32" s="23">
        <f t="shared" si="1"/>
        <v>0</v>
      </c>
      <c r="H32" s="23">
        <f t="shared" si="2"/>
        <v>10</v>
      </c>
      <c r="I32" s="25" t="str">
        <f>IF(C32="","",'[1]Index Plate Layout'!#REF!)</f>
        <v/>
      </c>
      <c r="J32" s="28"/>
    </row>
    <row r="33" spans="1:10" ht="17" thickBot="1" x14ac:dyDescent="0.25">
      <c r="A33" s="27" t="s">
        <v>57</v>
      </c>
      <c r="B33" s="21"/>
      <c r="C33" s="29"/>
      <c r="D33" s="23" t="e">
        <f>VLOOKUP(C33,[1]Sheet1!#REF!:[1]Sheet1!#REF!,2,FALSE)</f>
        <v>#REF!</v>
      </c>
      <c r="E33" s="23">
        <v>10</v>
      </c>
      <c r="F33" s="23" t="e">
        <f t="shared" si="0"/>
        <v>#REF!</v>
      </c>
      <c r="G33" s="23">
        <f t="shared" si="1"/>
        <v>0</v>
      </c>
      <c r="H33" s="23">
        <f t="shared" si="2"/>
        <v>10</v>
      </c>
      <c r="I33" s="25" t="str">
        <f>IF(C33="","",'[1]Index Plate Layout'!#REF!)</f>
        <v/>
      </c>
      <c r="J33" s="28"/>
    </row>
    <row r="34" spans="1:10" ht="17" thickBot="1" x14ac:dyDescent="0.25">
      <c r="A34" s="27" t="s">
        <v>58</v>
      </c>
      <c r="B34" s="21"/>
      <c r="C34" s="29"/>
      <c r="D34" s="23" t="e">
        <f>VLOOKUP(C34,[1]Sheet1!#REF!:[1]Sheet1!#REF!,2,FALSE)</f>
        <v>#REF!</v>
      </c>
      <c r="E34" s="23">
        <v>10</v>
      </c>
      <c r="F34" s="23" t="e">
        <f t="shared" si="0"/>
        <v>#REF!</v>
      </c>
      <c r="G34" s="23">
        <f t="shared" si="1"/>
        <v>0</v>
      </c>
      <c r="H34" s="23">
        <f t="shared" si="2"/>
        <v>10</v>
      </c>
      <c r="I34" s="25" t="str">
        <f>IF(C34="","",'[1]Index Plate Layout'!#REF!)</f>
        <v/>
      </c>
      <c r="J34" s="28"/>
    </row>
    <row r="35" spans="1:10" ht="17" thickBot="1" x14ac:dyDescent="0.25">
      <c r="A35" s="27" t="s">
        <v>59</v>
      </c>
      <c r="B35" s="21"/>
      <c r="C35" s="29"/>
      <c r="D35" s="23" t="e">
        <f>VLOOKUP(C35,[1]Sheet1!#REF!:[1]Sheet1!#REF!,2,FALSE)</f>
        <v>#REF!</v>
      </c>
      <c r="E35" s="23">
        <v>10</v>
      </c>
      <c r="F35" s="23" t="e">
        <f t="shared" si="0"/>
        <v>#REF!</v>
      </c>
      <c r="G35" s="23">
        <f t="shared" si="1"/>
        <v>0</v>
      </c>
      <c r="H35" s="23">
        <f t="shared" si="2"/>
        <v>10</v>
      </c>
      <c r="I35" s="25" t="str">
        <f>IF(C35="","",'[1]Index Plate Layout'!#REF!)</f>
        <v/>
      </c>
      <c r="J35" s="28"/>
    </row>
    <row r="36" spans="1:10" ht="17" thickBot="1" x14ac:dyDescent="0.25">
      <c r="A36" s="27" t="s">
        <v>60</v>
      </c>
      <c r="B36" s="21"/>
      <c r="C36" s="29"/>
      <c r="D36" s="23" t="e">
        <f>VLOOKUP(C36,[1]Sheet1!#REF!:[1]Sheet1!#REF!,2,FALSE)</f>
        <v>#REF!</v>
      </c>
      <c r="E36" s="23">
        <v>10</v>
      </c>
      <c r="F36" s="23" t="e">
        <f t="shared" si="0"/>
        <v>#REF!</v>
      </c>
      <c r="G36" s="23">
        <f t="shared" si="1"/>
        <v>0</v>
      </c>
      <c r="H36" s="23">
        <f t="shared" si="2"/>
        <v>10</v>
      </c>
      <c r="I36" s="25" t="str">
        <f>IF(C36="","",'[1]Index Plate Layout'!#REF!)</f>
        <v/>
      </c>
      <c r="J36" s="28"/>
    </row>
    <row r="37" spans="1:10" ht="17" thickBot="1" x14ac:dyDescent="0.25">
      <c r="A37" s="27" t="s">
        <v>61</v>
      </c>
      <c r="B37" s="21"/>
      <c r="C37" s="29"/>
      <c r="D37" s="23" t="e">
        <f>VLOOKUP(C37,[1]Sheet1!#REF!:[1]Sheet1!#REF!,2,FALSE)</f>
        <v>#REF!</v>
      </c>
      <c r="E37" s="23">
        <v>10</v>
      </c>
      <c r="F37" s="23" t="e">
        <f t="shared" si="0"/>
        <v>#REF!</v>
      </c>
      <c r="G37" s="23">
        <f t="shared" si="1"/>
        <v>0</v>
      </c>
      <c r="H37" s="23">
        <f t="shared" si="2"/>
        <v>10</v>
      </c>
      <c r="I37" s="25" t="str">
        <f>IF(C37="","",'[1]Index Plate Layout'!#REF!)</f>
        <v/>
      </c>
      <c r="J37" s="28"/>
    </row>
    <row r="38" spans="1:10" ht="17" thickBot="1" x14ac:dyDescent="0.25">
      <c r="A38" s="27" t="s">
        <v>62</v>
      </c>
      <c r="B38" s="21"/>
      <c r="C38" s="29"/>
      <c r="D38" s="23" t="e">
        <f>VLOOKUP(C38,[1]Sheet1!#REF!:[1]Sheet1!#REF!,2,FALSE)</f>
        <v>#REF!</v>
      </c>
      <c r="E38" s="23">
        <v>10</v>
      </c>
      <c r="F38" s="23" t="e">
        <f t="shared" si="0"/>
        <v>#REF!</v>
      </c>
      <c r="G38" s="23">
        <f t="shared" si="1"/>
        <v>0</v>
      </c>
      <c r="H38" s="23">
        <f t="shared" si="2"/>
        <v>10</v>
      </c>
      <c r="I38" s="25" t="str">
        <f>IF(C38="","",'[1]Index Plate Layout'!#REF!)</f>
        <v/>
      </c>
      <c r="J38" s="28"/>
    </row>
    <row r="39" spans="1:10" ht="17" thickBot="1" x14ac:dyDescent="0.25">
      <c r="A39" s="27" t="s">
        <v>63</v>
      </c>
      <c r="B39" s="21"/>
      <c r="C39" s="29"/>
      <c r="D39" s="23" t="e">
        <f>VLOOKUP(C39,[1]Sheet1!#REF!:[1]Sheet1!#REF!,2,FALSE)</f>
        <v>#REF!</v>
      </c>
      <c r="E39" s="23">
        <v>10</v>
      </c>
      <c r="F39" s="23" t="e">
        <f t="shared" si="0"/>
        <v>#REF!</v>
      </c>
      <c r="G39" s="23">
        <f t="shared" si="1"/>
        <v>0</v>
      </c>
      <c r="H39" s="23">
        <f t="shared" si="2"/>
        <v>10</v>
      </c>
      <c r="I39" s="25" t="str">
        <f>IF(C39="","",'[1]Index Plate Layout'!#REF!)</f>
        <v/>
      </c>
      <c r="J39" s="28"/>
    </row>
    <row r="40" spans="1:10" ht="17" thickBot="1" x14ac:dyDescent="0.25">
      <c r="A40" s="27" t="s">
        <v>64</v>
      </c>
      <c r="B40" s="21"/>
      <c r="C40" s="29"/>
      <c r="D40" s="23" t="e">
        <f>VLOOKUP(C40,[1]Sheet1!#REF!:[1]Sheet1!#REF!,2,FALSE)</f>
        <v>#REF!</v>
      </c>
      <c r="E40" s="23">
        <v>10</v>
      </c>
      <c r="F40" s="23" t="e">
        <f t="shared" si="0"/>
        <v>#REF!</v>
      </c>
      <c r="G40" s="23">
        <f t="shared" si="1"/>
        <v>0</v>
      </c>
      <c r="H40" s="23">
        <f t="shared" si="2"/>
        <v>10</v>
      </c>
      <c r="I40" s="25" t="str">
        <f>IF(C40="","",'[1]Index Plate Layout'!#REF!)</f>
        <v/>
      </c>
      <c r="J40" s="28"/>
    </row>
    <row r="41" spans="1:10" ht="17" thickBot="1" x14ac:dyDescent="0.25">
      <c r="A41" s="27" t="s">
        <v>65</v>
      </c>
      <c r="B41" s="21"/>
      <c r="C41" s="29"/>
      <c r="D41" s="23" t="e">
        <f>VLOOKUP(C41,[1]Sheet1!#REF!:[1]Sheet1!#REF!,2,FALSE)</f>
        <v>#REF!</v>
      </c>
      <c r="E41" s="23">
        <v>10</v>
      </c>
      <c r="F41" s="23" t="e">
        <f t="shared" si="0"/>
        <v>#REF!</v>
      </c>
      <c r="G41" s="23">
        <f t="shared" si="1"/>
        <v>0</v>
      </c>
      <c r="H41" s="23">
        <f t="shared" si="2"/>
        <v>10</v>
      </c>
      <c r="I41" s="25" t="str">
        <f>IF(C41="","",'[1]Index Plate Layout'!#REF!)</f>
        <v/>
      </c>
      <c r="J41" s="28"/>
    </row>
    <row r="42" spans="1:10" ht="17" thickBot="1" x14ac:dyDescent="0.25">
      <c r="A42" s="27" t="s">
        <v>66</v>
      </c>
      <c r="B42" s="21"/>
      <c r="C42" s="29"/>
      <c r="D42" s="23" t="e">
        <f>VLOOKUP(C42,[1]Sheet1!#REF!:[1]Sheet1!#REF!,2,FALSE)</f>
        <v>#REF!</v>
      </c>
      <c r="E42" s="23">
        <v>10</v>
      </c>
      <c r="F42" s="23" t="e">
        <f t="shared" si="0"/>
        <v>#REF!</v>
      </c>
      <c r="G42" s="23">
        <f t="shared" si="1"/>
        <v>0</v>
      </c>
      <c r="H42" s="23">
        <f t="shared" si="2"/>
        <v>10</v>
      </c>
      <c r="I42" s="25" t="str">
        <f>IF(C42="","",'[1]Index Plate Layout'!#REF!)</f>
        <v/>
      </c>
      <c r="J42" s="28"/>
    </row>
    <row r="43" spans="1:10" ht="17" thickBot="1" x14ac:dyDescent="0.25">
      <c r="A43" s="27" t="s">
        <v>67</v>
      </c>
      <c r="B43" s="21"/>
      <c r="C43" s="29"/>
      <c r="D43" s="23" t="e">
        <f>VLOOKUP(C43,[1]Sheet1!#REF!:[1]Sheet1!#REF!,2,FALSE)</f>
        <v>#REF!</v>
      </c>
      <c r="E43" s="23">
        <v>10</v>
      </c>
      <c r="F43" s="23" t="e">
        <f t="shared" si="0"/>
        <v>#REF!</v>
      </c>
      <c r="G43" s="23">
        <f t="shared" si="1"/>
        <v>0</v>
      </c>
      <c r="H43" s="23">
        <f t="shared" si="2"/>
        <v>10</v>
      </c>
      <c r="I43" s="25" t="str">
        <f>IF(C43="","",'[1]Index Plate Layout'!#REF!)</f>
        <v/>
      </c>
      <c r="J43" s="28"/>
    </row>
    <row r="44" spans="1:10" ht="17" thickBot="1" x14ac:dyDescent="0.25">
      <c r="A44" s="27" t="s">
        <v>68</v>
      </c>
      <c r="B44" s="21"/>
      <c r="C44" s="29"/>
      <c r="D44" s="23" t="e">
        <f>VLOOKUP(C44,[1]Sheet1!#REF!:[1]Sheet1!#REF!,2,FALSE)</f>
        <v>#REF!</v>
      </c>
      <c r="E44" s="23">
        <v>10</v>
      </c>
      <c r="F44" s="23" t="e">
        <f t="shared" si="0"/>
        <v>#REF!</v>
      </c>
      <c r="G44" s="23">
        <f t="shared" si="1"/>
        <v>0</v>
      </c>
      <c r="H44" s="23">
        <f t="shared" si="2"/>
        <v>10</v>
      </c>
      <c r="I44" s="25" t="str">
        <f>IF(C44="","",'[1]Index Plate Layout'!#REF!)</f>
        <v/>
      </c>
      <c r="J44" s="28"/>
    </row>
    <row r="45" spans="1:10" ht="17" thickBot="1" x14ac:dyDescent="0.25">
      <c r="A45" s="27" t="s">
        <v>69</v>
      </c>
      <c r="B45" s="21"/>
      <c r="C45" s="29"/>
      <c r="D45" s="23" t="e">
        <f>VLOOKUP(C45,[1]Sheet1!#REF!:[1]Sheet1!#REF!,2,FALSE)</f>
        <v>#REF!</v>
      </c>
      <c r="E45" s="23">
        <v>10</v>
      </c>
      <c r="F45" s="23" t="e">
        <f t="shared" si="0"/>
        <v>#REF!</v>
      </c>
      <c r="G45" s="23">
        <f t="shared" si="1"/>
        <v>0</v>
      </c>
      <c r="H45" s="23">
        <f t="shared" si="2"/>
        <v>10</v>
      </c>
      <c r="I45" s="25" t="str">
        <f>IF(C45="","",'[1]Index Plate Layout'!#REF!)</f>
        <v/>
      </c>
      <c r="J45" s="28"/>
    </row>
    <row r="46" spans="1:10" ht="17" thickBot="1" x14ac:dyDescent="0.25">
      <c r="A46" s="27" t="s">
        <v>70</v>
      </c>
      <c r="B46" s="21"/>
      <c r="C46" s="29"/>
      <c r="D46" s="23" t="e">
        <f>VLOOKUP(C46,[1]Sheet1!#REF!:[1]Sheet1!#REF!,2,FALSE)</f>
        <v>#REF!</v>
      </c>
      <c r="E46" s="23">
        <v>10</v>
      </c>
      <c r="F46" s="23" t="e">
        <f t="shared" si="0"/>
        <v>#REF!</v>
      </c>
      <c r="G46" s="23">
        <f t="shared" si="1"/>
        <v>0</v>
      </c>
      <c r="H46" s="23">
        <f t="shared" si="2"/>
        <v>10</v>
      </c>
      <c r="I46" s="25" t="str">
        <f>IF(C46="","",'[1]Index Plate Layout'!#REF!)</f>
        <v/>
      </c>
      <c r="J46" s="28"/>
    </row>
    <row r="47" spans="1:10" ht="17" thickBot="1" x14ac:dyDescent="0.25">
      <c r="A47" s="27" t="s">
        <v>71</v>
      </c>
      <c r="B47" s="21"/>
      <c r="C47" s="29"/>
      <c r="D47" s="23" t="e">
        <f>VLOOKUP(C47,[1]Sheet1!#REF!:[1]Sheet1!#REF!,2,FALSE)</f>
        <v>#REF!</v>
      </c>
      <c r="E47" s="23">
        <v>10</v>
      </c>
      <c r="F47" s="23" t="e">
        <f t="shared" si="0"/>
        <v>#REF!</v>
      </c>
      <c r="G47" s="23">
        <f t="shared" si="1"/>
        <v>0</v>
      </c>
      <c r="H47" s="23">
        <f t="shared" si="2"/>
        <v>10</v>
      </c>
      <c r="I47" s="25" t="str">
        <f>IF(C47="","",'[1]Index Plate Layout'!#REF!)</f>
        <v/>
      </c>
      <c r="J47" s="28"/>
    </row>
    <row r="48" spans="1:10" ht="17" thickBot="1" x14ac:dyDescent="0.25">
      <c r="A48" s="27" t="s">
        <v>72</v>
      </c>
      <c r="B48" s="21"/>
      <c r="C48" s="29"/>
      <c r="D48" s="23" t="e">
        <f>VLOOKUP(C48,[1]Sheet1!#REF!:[1]Sheet1!#REF!,2,FALSE)</f>
        <v>#REF!</v>
      </c>
      <c r="E48" s="23">
        <v>10</v>
      </c>
      <c r="F48" s="23" t="e">
        <f t="shared" si="0"/>
        <v>#REF!</v>
      </c>
      <c r="G48" s="23">
        <f t="shared" si="1"/>
        <v>0</v>
      </c>
      <c r="H48" s="23">
        <f t="shared" si="2"/>
        <v>10</v>
      </c>
      <c r="I48" s="25" t="str">
        <f>IF(C48="","",'[1]Index Plate Layout'!#REF!)</f>
        <v/>
      </c>
      <c r="J48" s="28"/>
    </row>
    <row r="49" spans="1:10" ht="17" thickBot="1" x14ac:dyDescent="0.25">
      <c r="A49" s="27" t="s">
        <v>73</v>
      </c>
      <c r="B49" s="21"/>
      <c r="C49" s="29"/>
      <c r="D49" s="23" t="e">
        <f>VLOOKUP(C49,[1]Sheet1!#REF!:[1]Sheet1!#REF!,2,FALSE)</f>
        <v>#REF!</v>
      </c>
      <c r="E49" s="23">
        <v>10</v>
      </c>
      <c r="F49" s="23" t="e">
        <f t="shared" si="0"/>
        <v>#REF!</v>
      </c>
      <c r="G49" s="23">
        <f t="shared" si="1"/>
        <v>0</v>
      </c>
      <c r="H49" s="23">
        <f t="shared" si="2"/>
        <v>10</v>
      </c>
      <c r="I49" s="25" t="str">
        <f>IF(C49="","",'[1]Index Plate Layout'!#REF!)</f>
        <v/>
      </c>
      <c r="J49" s="28"/>
    </row>
    <row r="50" spans="1:10" ht="17" thickBot="1" x14ac:dyDescent="0.25">
      <c r="A50" s="27" t="s">
        <v>74</v>
      </c>
      <c r="B50" s="21"/>
      <c r="C50" s="29"/>
      <c r="D50" s="23" t="e">
        <f>VLOOKUP(C50,[1]Sheet1!#REF!:[1]Sheet1!#REF!,2,FALSE)</f>
        <v>#REF!</v>
      </c>
      <c r="E50" s="23">
        <v>10</v>
      </c>
      <c r="F50" s="23" t="e">
        <f t="shared" si="0"/>
        <v>#REF!</v>
      </c>
      <c r="G50" s="23">
        <f t="shared" si="1"/>
        <v>0</v>
      </c>
      <c r="H50" s="23">
        <f t="shared" si="2"/>
        <v>10</v>
      </c>
      <c r="I50" s="25" t="str">
        <f>IF(C50="","",'[1]Index Plate Layout'!#REF!)</f>
        <v/>
      </c>
      <c r="J50" s="28"/>
    </row>
    <row r="51" spans="1:10" ht="17" thickBot="1" x14ac:dyDescent="0.25">
      <c r="A51" s="27" t="s">
        <v>75</v>
      </c>
      <c r="B51" s="21"/>
      <c r="C51" s="29"/>
      <c r="D51" s="23" t="e">
        <f>VLOOKUP(C51,[1]Sheet1!#REF!:[1]Sheet1!#REF!,2,FALSE)</f>
        <v>#REF!</v>
      </c>
      <c r="E51" s="23">
        <v>10</v>
      </c>
      <c r="F51" s="23" t="e">
        <f t="shared" si="0"/>
        <v>#REF!</v>
      </c>
      <c r="G51" s="23">
        <f t="shared" si="1"/>
        <v>0</v>
      </c>
      <c r="H51" s="23">
        <f t="shared" si="2"/>
        <v>10</v>
      </c>
      <c r="I51" s="25" t="str">
        <f>IF(C51="","",'[1]Index Plate Layout'!#REF!)</f>
        <v/>
      </c>
      <c r="J51" s="28"/>
    </row>
    <row r="52" spans="1:10" ht="17" thickBot="1" x14ac:dyDescent="0.25">
      <c r="A52" s="27" t="s">
        <v>76</v>
      </c>
      <c r="B52" s="21"/>
      <c r="C52" s="29"/>
      <c r="D52" s="23" t="e">
        <f>VLOOKUP(C52,[1]Sheet1!#REF!:[1]Sheet1!#REF!,2,FALSE)</f>
        <v>#REF!</v>
      </c>
      <c r="E52" s="23">
        <v>10</v>
      </c>
      <c r="F52" s="23" t="e">
        <f t="shared" si="0"/>
        <v>#REF!</v>
      </c>
      <c r="G52" s="23">
        <f t="shared" si="1"/>
        <v>0</v>
      </c>
      <c r="H52" s="23">
        <f t="shared" si="2"/>
        <v>10</v>
      </c>
      <c r="I52" s="25" t="str">
        <f>IF(C52="","",'[1]Index Plate Layout'!#REF!)</f>
        <v/>
      </c>
      <c r="J52" s="28"/>
    </row>
    <row r="53" spans="1:10" ht="17" thickBot="1" x14ac:dyDescent="0.25">
      <c r="A53" s="27" t="s">
        <v>77</v>
      </c>
      <c r="B53" s="21"/>
      <c r="C53" s="29"/>
      <c r="D53" s="23" t="e">
        <f>VLOOKUP(C53,[1]Sheet1!#REF!:[1]Sheet1!#REF!,2,FALSE)</f>
        <v>#REF!</v>
      </c>
      <c r="E53" s="23">
        <v>10</v>
      </c>
      <c r="F53" s="23" t="e">
        <f t="shared" si="0"/>
        <v>#REF!</v>
      </c>
      <c r="G53" s="23">
        <f t="shared" si="1"/>
        <v>0</v>
      </c>
      <c r="H53" s="23">
        <f t="shared" si="2"/>
        <v>10</v>
      </c>
      <c r="I53" s="25" t="str">
        <f>IF(C53="","",'[1]Index Plate Layout'!#REF!)</f>
        <v/>
      </c>
      <c r="J53" s="28"/>
    </row>
    <row r="54" spans="1:10" ht="17" thickBot="1" x14ac:dyDescent="0.25">
      <c r="A54" s="27" t="s">
        <v>78</v>
      </c>
      <c r="B54" s="21"/>
      <c r="C54" s="29"/>
      <c r="D54" s="23" t="e">
        <f>VLOOKUP(C54,[1]Sheet1!#REF!:[1]Sheet1!#REF!,2,FALSE)</f>
        <v>#REF!</v>
      </c>
      <c r="E54" s="23">
        <v>10</v>
      </c>
      <c r="F54" s="23" t="e">
        <f t="shared" si="0"/>
        <v>#REF!</v>
      </c>
      <c r="G54" s="23">
        <f t="shared" si="1"/>
        <v>0</v>
      </c>
      <c r="H54" s="23">
        <f t="shared" si="2"/>
        <v>10</v>
      </c>
      <c r="I54" s="25" t="str">
        <f>IF(C54="","",'[1]Index Plate Layout'!#REF!)</f>
        <v/>
      </c>
      <c r="J54" s="28"/>
    </row>
    <row r="55" spans="1:10" ht="17" thickBot="1" x14ac:dyDescent="0.25">
      <c r="A55" s="27" t="s">
        <v>79</v>
      </c>
      <c r="B55" s="21"/>
      <c r="C55" s="29"/>
      <c r="D55" s="23" t="e">
        <f>VLOOKUP(C55,[1]Sheet1!#REF!:[1]Sheet1!#REF!,2,FALSE)</f>
        <v>#REF!</v>
      </c>
      <c r="E55" s="23">
        <v>10</v>
      </c>
      <c r="F55" s="23" t="e">
        <f t="shared" si="0"/>
        <v>#REF!</v>
      </c>
      <c r="G55" s="23">
        <f t="shared" si="1"/>
        <v>0</v>
      </c>
      <c r="H55" s="23">
        <f t="shared" si="2"/>
        <v>10</v>
      </c>
      <c r="I55" s="25" t="str">
        <f>IF(C55="","",'[1]Index Plate Layout'!#REF!)</f>
        <v/>
      </c>
      <c r="J55" s="28"/>
    </row>
    <row r="56" spans="1:10" ht="17" thickBot="1" x14ac:dyDescent="0.25">
      <c r="A56" s="27" t="s">
        <v>80</v>
      </c>
      <c r="B56" s="21"/>
      <c r="C56" s="29"/>
      <c r="D56" s="23" t="e">
        <f>VLOOKUP(C56,[1]Sheet1!#REF!:[1]Sheet1!#REF!,2,FALSE)</f>
        <v>#REF!</v>
      </c>
      <c r="E56" s="23">
        <v>10</v>
      </c>
      <c r="F56" s="23" t="e">
        <f t="shared" si="0"/>
        <v>#REF!</v>
      </c>
      <c r="G56" s="23">
        <f t="shared" si="1"/>
        <v>0</v>
      </c>
      <c r="H56" s="23">
        <f t="shared" si="2"/>
        <v>10</v>
      </c>
      <c r="I56" s="25" t="str">
        <f>IF(C56="","",'[1]Index Plate Layout'!#REF!)</f>
        <v/>
      </c>
      <c r="J56" s="28"/>
    </row>
    <row r="57" spans="1:10" ht="17" thickBot="1" x14ac:dyDescent="0.25">
      <c r="A57" s="27" t="s">
        <v>81</v>
      </c>
      <c r="B57" s="21"/>
      <c r="C57" s="29"/>
      <c r="D57" s="23" t="e">
        <f>VLOOKUP(C57,[1]Sheet1!#REF!:[1]Sheet1!#REF!,2,FALSE)</f>
        <v>#REF!</v>
      </c>
      <c r="E57" s="23">
        <v>10</v>
      </c>
      <c r="F57" s="23" t="e">
        <f t="shared" si="0"/>
        <v>#REF!</v>
      </c>
      <c r="G57" s="23">
        <f t="shared" si="1"/>
        <v>0</v>
      </c>
      <c r="H57" s="23">
        <f t="shared" si="2"/>
        <v>10</v>
      </c>
      <c r="I57" s="25" t="str">
        <f>IF(C57="","",'[1]Index Plate Layout'!#REF!)</f>
        <v/>
      </c>
      <c r="J57" s="28"/>
    </row>
    <row r="58" spans="1:10" ht="17" thickBot="1" x14ac:dyDescent="0.25">
      <c r="A58" s="27" t="s">
        <v>82</v>
      </c>
      <c r="B58" s="21"/>
      <c r="C58" s="29"/>
      <c r="D58" s="23" t="e">
        <f>VLOOKUP(C58,[1]Sheet1!#REF!:[1]Sheet1!#REF!,2,FALSE)</f>
        <v>#REF!</v>
      </c>
      <c r="E58" s="23">
        <v>10</v>
      </c>
      <c r="F58" s="23" t="e">
        <f t="shared" si="0"/>
        <v>#REF!</v>
      </c>
      <c r="G58" s="23">
        <f t="shared" si="1"/>
        <v>0</v>
      </c>
      <c r="H58" s="23">
        <f t="shared" si="2"/>
        <v>10</v>
      </c>
      <c r="I58" s="25" t="str">
        <f>IF(C58="","",'[1]Index Plate Layout'!#REF!)</f>
        <v/>
      </c>
      <c r="J58" s="28"/>
    </row>
    <row r="59" spans="1:10" ht="17" thickBot="1" x14ac:dyDescent="0.25">
      <c r="A59" s="27" t="s">
        <v>83</v>
      </c>
      <c r="B59" s="21"/>
      <c r="C59" s="29"/>
      <c r="D59" s="23" t="e">
        <f>VLOOKUP(C59,[1]Sheet1!#REF!:[1]Sheet1!#REF!,2,FALSE)</f>
        <v>#REF!</v>
      </c>
      <c r="E59" s="23">
        <v>10</v>
      </c>
      <c r="F59" s="23" t="e">
        <f t="shared" si="0"/>
        <v>#REF!</v>
      </c>
      <c r="G59" s="23">
        <f t="shared" si="1"/>
        <v>0</v>
      </c>
      <c r="H59" s="23">
        <f t="shared" si="2"/>
        <v>10</v>
      </c>
      <c r="I59" s="25" t="str">
        <f>IF(C59="","",'[1]Index Plate Layout'!#REF!)</f>
        <v/>
      </c>
      <c r="J59" s="28"/>
    </row>
    <row r="60" spans="1:10" ht="17" thickBot="1" x14ac:dyDescent="0.25">
      <c r="A60" s="27" t="s">
        <v>84</v>
      </c>
      <c r="B60" s="21"/>
      <c r="C60" s="29"/>
      <c r="D60" s="23" t="e">
        <f>VLOOKUP(C60,[1]Sheet1!#REF!:[1]Sheet1!#REF!,2,FALSE)</f>
        <v>#REF!</v>
      </c>
      <c r="E60" s="23">
        <v>10</v>
      </c>
      <c r="F60" s="23" t="e">
        <f t="shared" si="0"/>
        <v>#REF!</v>
      </c>
      <c r="G60" s="23">
        <f t="shared" si="1"/>
        <v>0</v>
      </c>
      <c r="H60" s="23">
        <f t="shared" si="2"/>
        <v>10</v>
      </c>
      <c r="I60" s="25" t="str">
        <f>IF(C60="","",'[1]Index Plate Layout'!#REF!)</f>
        <v/>
      </c>
      <c r="J60" s="28"/>
    </row>
    <row r="61" spans="1:10" ht="17" thickBot="1" x14ac:dyDescent="0.25">
      <c r="A61" s="27" t="s">
        <v>85</v>
      </c>
      <c r="B61" s="21"/>
      <c r="C61" s="29"/>
      <c r="D61" s="23" t="e">
        <f>VLOOKUP(C61,[1]Sheet1!#REF!:[1]Sheet1!#REF!,2,FALSE)</f>
        <v>#REF!</v>
      </c>
      <c r="E61" s="23">
        <v>10</v>
      </c>
      <c r="F61" s="23" t="e">
        <f t="shared" si="0"/>
        <v>#REF!</v>
      </c>
      <c r="G61" s="23">
        <f t="shared" si="1"/>
        <v>0</v>
      </c>
      <c r="H61" s="23">
        <f t="shared" si="2"/>
        <v>10</v>
      </c>
      <c r="I61" s="25" t="str">
        <f>IF(C61="","",'[1]Index Plate Layout'!#REF!)</f>
        <v/>
      </c>
      <c r="J61" s="28"/>
    </row>
    <row r="62" spans="1:10" ht="17" thickBot="1" x14ac:dyDescent="0.25">
      <c r="A62" s="27" t="s">
        <v>86</v>
      </c>
      <c r="B62" s="21"/>
      <c r="C62" s="29"/>
      <c r="D62" s="23" t="e">
        <f>VLOOKUP(C62,[1]Sheet1!#REF!:[1]Sheet1!#REF!,2,FALSE)</f>
        <v>#REF!</v>
      </c>
      <c r="E62" s="23">
        <v>10</v>
      </c>
      <c r="F62" s="23" t="e">
        <f t="shared" si="0"/>
        <v>#REF!</v>
      </c>
      <c r="G62" s="23">
        <f t="shared" si="1"/>
        <v>0</v>
      </c>
      <c r="H62" s="23">
        <f t="shared" si="2"/>
        <v>10</v>
      </c>
      <c r="I62" s="25" t="str">
        <f>IF(C62="","",'[1]Index Plate Layout'!#REF!)</f>
        <v/>
      </c>
      <c r="J62" s="28"/>
    </row>
    <row r="63" spans="1:10" ht="17" thickBot="1" x14ac:dyDescent="0.25">
      <c r="A63" s="27" t="s">
        <v>87</v>
      </c>
      <c r="B63" s="21"/>
      <c r="C63" s="29"/>
      <c r="D63" s="23" t="e">
        <f>VLOOKUP(C63,[1]Sheet1!#REF!:[1]Sheet1!#REF!,2,FALSE)</f>
        <v>#REF!</v>
      </c>
      <c r="E63" s="23">
        <v>10</v>
      </c>
      <c r="F63" s="23" t="e">
        <f t="shared" si="0"/>
        <v>#REF!</v>
      </c>
      <c r="G63" s="23">
        <f t="shared" si="1"/>
        <v>0</v>
      </c>
      <c r="H63" s="23">
        <f t="shared" si="2"/>
        <v>10</v>
      </c>
      <c r="I63" s="25" t="str">
        <f>IF(C63="","",'[1]Index Plate Layout'!#REF!)</f>
        <v/>
      </c>
      <c r="J63" s="28"/>
    </row>
    <row r="64" spans="1:10" ht="17" thickBot="1" x14ac:dyDescent="0.25">
      <c r="A64" s="27" t="s">
        <v>88</v>
      </c>
      <c r="B64" s="21"/>
      <c r="C64" s="29"/>
      <c r="D64" s="23" t="e">
        <f>VLOOKUP(C64,[1]Sheet1!#REF!:[1]Sheet1!#REF!,2,FALSE)</f>
        <v>#REF!</v>
      </c>
      <c r="E64" s="23">
        <v>10</v>
      </c>
      <c r="F64" s="23" t="e">
        <f t="shared" si="0"/>
        <v>#REF!</v>
      </c>
      <c r="G64" s="23">
        <f t="shared" si="1"/>
        <v>0</v>
      </c>
      <c r="H64" s="23">
        <f t="shared" si="2"/>
        <v>10</v>
      </c>
      <c r="I64" s="25" t="str">
        <f>IF(C64="","",'[1]Index Plate Layout'!#REF!)</f>
        <v/>
      </c>
      <c r="J64" s="28"/>
    </row>
    <row r="65" spans="1:10" ht="17" thickBot="1" x14ac:dyDescent="0.25">
      <c r="A65" s="27" t="s">
        <v>89</v>
      </c>
      <c r="B65" s="21"/>
      <c r="C65" s="29"/>
      <c r="D65" s="23" t="e">
        <f>VLOOKUP(C65,[1]Sheet1!#REF!:[1]Sheet1!#REF!,2,FALSE)</f>
        <v>#REF!</v>
      </c>
      <c r="E65" s="23">
        <v>10</v>
      </c>
      <c r="F65" s="23" t="e">
        <f t="shared" si="0"/>
        <v>#REF!</v>
      </c>
      <c r="G65" s="23">
        <f t="shared" si="1"/>
        <v>0</v>
      </c>
      <c r="H65" s="23">
        <f t="shared" si="2"/>
        <v>10</v>
      </c>
      <c r="I65" s="25" t="str">
        <f>IF(C65="","",'[1]Index Plate Layout'!#REF!)</f>
        <v/>
      </c>
      <c r="J65" s="28"/>
    </row>
    <row r="66" spans="1:10" ht="17" thickBot="1" x14ac:dyDescent="0.25">
      <c r="A66" s="27" t="s">
        <v>90</v>
      </c>
      <c r="B66" s="21"/>
      <c r="C66" s="29"/>
      <c r="D66" s="23" t="e">
        <f>VLOOKUP(C66,[1]Sheet1!#REF!:[1]Sheet1!#REF!,2,FALSE)</f>
        <v>#REF!</v>
      </c>
      <c r="E66" s="23">
        <v>10</v>
      </c>
      <c r="F66" s="23" t="e">
        <f t="shared" si="0"/>
        <v>#REF!</v>
      </c>
      <c r="G66" s="23">
        <f t="shared" si="1"/>
        <v>0</v>
      </c>
      <c r="H66" s="23">
        <f t="shared" si="2"/>
        <v>10</v>
      </c>
      <c r="I66" s="25" t="str">
        <f>IF(C66="","",'[1]Index Plate Layout'!#REF!)</f>
        <v/>
      </c>
      <c r="J66" s="28"/>
    </row>
    <row r="67" spans="1:10" ht="17" thickBot="1" x14ac:dyDescent="0.25">
      <c r="A67" s="27" t="s">
        <v>91</v>
      </c>
      <c r="B67" s="21"/>
      <c r="C67" s="29"/>
      <c r="D67" s="23" t="e">
        <f>VLOOKUP(C67,[1]Sheet1!#REF!:[1]Sheet1!#REF!,2,FALSE)</f>
        <v>#REF!</v>
      </c>
      <c r="E67" s="23">
        <v>10</v>
      </c>
      <c r="F67" s="23" t="e">
        <f t="shared" ref="F67:F97" si="3">D67*E67</f>
        <v>#REF!</v>
      </c>
      <c r="G67" s="23">
        <f t="shared" ref="G67:G97" si="4">10-E67</f>
        <v>0</v>
      </c>
      <c r="H67" s="23">
        <f t="shared" ref="H67:H97" si="5">E67+G67</f>
        <v>10</v>
      </c>
      <c r="I67" s="25" t="str">
        <f>IF(C67="","",'[1]Index Plate Layout'!#REF!)</f>
        <v/>
      </c>
      <c r="J67" s="28"/>
    </row>
    <row r="68" spans="1:10" ht="17" thickBot="1" x14ac:dyDescent="0.25">
      <c r="A68" s="27" t="s">
        <v>92</v>
      </c>
      <c r="B68" s="21"/>
      <c r="C68" s="29"/>
      <c r="D68" s="23" t="e">
        <f>VLOOKUP(C68,[1]Sheet1!#REF!:[1]Sheet1!#REF!,2,FALSE)</f>
        <v>#REF!</v>
      </c>
      <c r="E68" s="23">
        <v>10</v>
      </c>
      <c r="F68" s="23" t="e">
        <f t="shared" si="3"/>
        <v>#REF!</v>
      </c>
      <c r="G68" s="23">
        <f t="shared" si="4"/>
        <v>0</v>
      </c>
      <c r="H68" s="23">
        <f t="shared" si="5"/>
        <v>10</v>
      </c>
      <c r="I68" s="25" t="str">
        <f>IF(C68="","",'[1]Index Plate Layout'!#REF!)</f>
        <v/>
      </c>
      <c r="J68" s="28"/>
    </row>
    <row r="69" spans="1:10" ht="17" thickBot="1" x14ac:dyDescent="0.25">
      <c r="A69" s="27" t="s">
        <v>93</v>
      </c>
      <c r="B69" s="21"/>
      <c r="C69" s="29"/>
      <c r="D69" s="23" t="e">
        <f>VLOOKUP(C69,[1]Sheet1!#REF!:[1]Sheet1!#REF!,2,FALSE)</f>
        <v>#REF!</v>
      </c>
      <c r="E69" s="23">
        <v>10</v>
      </c>
      <c r="F69" s="23" t="e">
        <f t="shared" si="3"/>
        <v>#REF!</v>
      </c>
      <c r="G69" s="23">
        <f t="shared" si="4"/>
        <v>0</v>
      </c>
      <c r="H69" s="23">
        <f t="shared" si="5"/>
        <v>10</v>
      </c>
      <c r="I69" s="25" t="str">
        <f>IF(C69="","",'[1]Index Plate Layout'!#REF!)</f>
        <v/>
      </c>
      <c r="J69" s="28"/>
    </row>
    <row r="70" spans="1:10" ht="17" thickBot="1" x14ac:dyDescent="0.25">
      <c r="A70" s="27" t="s">
        <v>94</v>
      </c>
      <c r="B70" s="21"/>
      <c r="C70" s="29"/>
      <c r="D70" s="23" t="e">
        <f>VLOOKUP(C70,[1]Sheet1!#REF!:[1]Sheet1!#REF!,2,FALSE)</f>
        <v>#REF!</v>
      </c>
      <c r="E70" s="23">
        <v>10</v>
      </c>
      <c r="F70" s="23" t="e">
        <f t="shared" si="3"/>
        <v>#REF!</v>
      </c>
      <c r="G70" s="23">
        <f t="shared" si="4"/>
        <v>0</v>
      </c>
      <c r="H70" s="23">
        <f t="shared" si="5"/>
        <v>10</v>
      </c>
      <c r="I70" s="25" t="str">
        <f>IF(C70="","",'[1]Index Plate Layout'!#REF!)</f>
        <v/>
      </c>
      <c r="J70" s="28"/>
    </row>
    <row r="71" spans="1:10" ht="17" thickBot="1" x14ac:dyDescent="0.25">
      <c r="A71" s="27" t="s">
        <v>95</v>
      </c>
      <c r="B71" s="21"/>
      <c r="C71" s="29"/>
      <c r="D71" s="23" t="e">
        <f>VLOOKUP(C71,[1]Sheet1!#REF!:[1]Sheet1!#REF!,2,FALSE)</f>
        <v>#REF!</v>
      </c>
      <c r="E71" s="23">
        <v>10</v>
      </c>
      <c r="F71" s="23" t="e">
        <f t="shared" si="3"/>
        <v>#REF!</v>
      </c>
      <c r="G71" s="23">
        <f t="shared" si="4"/>
        <v>0</v>
      </c>
      <c r="H71" s="23">
        <f t="shared" si="5"/>
        <v>10</v>
      </c>
      <c r="I71" s="25" t="str">
        <f>IF(C71="","",'[1]Index Plate Layout'!#REF!)</f>
        <v/>
      </c>
      <c r="J71" s="28"/>
    </row>
    <row r="72" spans="1:10" ht="17" thickBot="1" x14ac:dyDescent="0.25">
      <c r="A72" s="27" t="s">
        <v>96</v>
      </c>
      <c r="B72" s="21"/>
      <c r="C72" s="29"/>
      <c r="D72" s="23" t="e">
        <f>VLOOKUP(C72,[1]Sheet1!#REF!:[1]Sheet1!#REF!,2,FALSE)</f>
        <v>#REF!</v>
      </c>
      <c r="E72" s="23">
        <v>10</v>
      </c>
      <c r="F72" s="23" t="e">
        <f t="shared" si="3"/>
        <v>#REF!</v>
      </c>
      <c r="G72" s="23">
        <f t="shared" si="4"/>
        <v>0</v>
      </c>
      <c r="H72" s="23">
        <f t="shared" si="5"/>
        <v>10</v>
      </c>
      <c r="I72" s="25" t="str">
        <f>IF(C72="","",'[1]Index Plate Layout'!#REF!)</f>
        <v/>
      </c>
      <c r="J72" s="28"/>
    </row>
    <row r="73" spans="1:10" ht="17" thickBot="1" x14ac:dyDescent="0.25">
      <c r="A73" s="27" t="s">
        <v>97</v>
      </c>
      <c r="B73" s="21"/>
      <c r="C73" s="29"/>
      <c r="D73" s="23" t="e">
        <f>VLOOKUP(C73,[1]Sheet1!#REF!:[1]Sheet1!#REF!,2,FALSE)</f>
        <v>#REF!</v>
      </c>
      <c r="E73" s="23">
        <v>10</v>
      </c>
      <c r="F73" s="23" t="e">
        <f t="shared" si="3"/>
        <v>#REF!</v>
      </c>
      <c r="G73" s="23">
        <f t="shared" si="4"/>
        <v>0</v>
      </c>
      <c r="H73" s="23">
        <f t="shared" si="5"/>
        <v>10</v>
      </c>
      <c r="I73" s="25" t="str">
        <f>IF(C73="","",'[1]Index Plate Layout'!#REF!)</f>
        <v/>
      </c>
      <c r="J73" s="28"/>
    </row>
    <row r="74" spans="1:10" ht="17" thickBot="1" x14ac:dyDescent="0.25">
      <c r="A74" s="27" t="s">
        <v>98</v>
      </c>
      <c r="B74" s="21"/>
      <c r="C74" s="29"/>
      <c r="D74" s="23" t="e">
        <f>VLOOKUP(C74,[1]Sheet1!#REF!:[1]Sheet1!#REF!,2,FALSE)</f>
        <v>#REF!</v>
      </c>
      <c r="E74" s="23">
        <v>10</v>
      </c>
      <c r="F74" s="23" t="e">
        <f t="shared" si="3"/>
        <v>#REF!</v>
      </c>
      <c r="G74" s="23">
        <f t="shared" si="4"/>
        <v>0</v>
      </c>
      <c r="H74" s="23">
        <f t="shared" si="5"/>
        <v>10</v>
      </c>
      <c r="I74" s="25" t="str">
        <f>IF(C74="","",'[1]Index Plate Layout'!#REF!)</f>
        <v/>
      </c>
      <c r="J74" s="28"/>
    </row>
    <row r="75" spans="1:10" ht="17" thickBot="1" x14ac:dyDescent="0.25">
      <c r="A75" s="27" t="s">
        <v>99</v>
      </c>
      <c r="B75" s="21"/>
      <c r="C75" s="29"/>
      <c r="D75" s="23" t="e">
        <f>VLOOKUP(C75,[1]Sheet1!#REF!:[1]Sheet1!#REF!,2,FALSE)</f>
        <v>#REF!</v>
      </c>
      <c r="E75" s="23">
        <v>10</v>
      </c>
      <c r="F75" s="23" t="e">
        <f t="shared" si="3"/>
        <v>#REF!</v>
      </c>
      <c r="G75" s="23">
        <f t="shared" si="4"/>
        <v>0</v>
      </c>
      <c r="H75" s="23">
        <f t="shared" si="5"/>
        <v>10</v>
      </c>
      <c r="I75" s="25" t="str">
        <f>IF(C75="","",'[1]Index Plate Layout'!#REF!)</f>
        <v/>
      </c>
      <c r="J75" s="28"/>
    </row>
    <row r="76" spans="1:10" ht="17" thickBot="1" x14ac:dyDescent="0.25">
      <c r="A76" s="27" t="s">
        <v>100</v>
      </c>
      <c r="B76" s="21"/>
      <c r="C76" s="29"/>
      <c r="D76" s="23" t="e">
        <f>VLOOKUP(C76,[1]Sheet1!#REF!:[1]Sheet1!#REF!,2,FALSE)</f>
        <v>#REF!</v>
      </c>
      <c r="E76" s="23">
        <v>10</v>
      </c>
      <c r="F76" s="23" t="e">
        <f t="shared" si="3"/>
        <v>#REF!</v>
      </c>
      <c r="G76" s="23">
        <f t="shared" si="4"/>
        <v>0</v>
      </c>
      <c r="H76" s="23">
        <f t="shared" si="5"/>
        <v>10</v>
      </c>
      <c r="I76" s="25" t="str">
        <f>IF(C76="","",'[1]Index Plate Layout'!#REF!)</f>
        <v/>
      </c>
      <c r="J76" s="28"/>
    </row>
    <row r="77" spans="1:10" ht="17" thickBot="1" x14ac:dyDescent="0.25">
      <c r="A77" s="27" t="s">
        <v>101</v>
      </c>
      <c r="B77" s="21"/>
      <c r="C77" s="29"/>
      <c r="D77" s="23" t="e">
        <f>VLOOKUP(C77,[1]Sheet1!#REF!:[1]Sheet1!#REF!,2,FALSE)</f>
        <v>#REF!</v>
      </c>
      <c r="E77" s="23">
        <v>10</v>
      </c>
      <c r="F77" s="23" t="e">
        <f t="shared" si="3"/>
        <v>#REF!</v>
      </c>
      <c r="G77" s="23">
        <f t="shared" si="4"/>
        <v>0</v>
      </c>
      <c r="H77" s="23">
        <f t="shared" si="5"/>
        <v>10</v>
      </c>
      <c r="I77" s="25" t="str">
        <f>IF(C77="","",'[1]Index Plate Layout'!#REF!)</f>
        <v/>
      </c>
      <c r="J77" s="28"/>
    </row>
    <row r="78" spans="1:10" ht="17" thickBot="1" x14ac:dyDescent="0.25">
      <c r="A78" s="27" t="s">
        <v>102</v>
      </c>
      <c r="B78" s="21"/>
      <c r="C78" s="29"/>
      <c r="D78" s="23" t="e">
        <f>VLOOKUP(C78,[1]Sheet1!#REF!:[1]Sheet1!#REF!,2,FALSE)</f>
        <v>#REF!</v>
      </c>
      <c r="E78" s="23">
        <v>10</v>
      </c>
      <c r="F78" s="23" t="e">
        <f t="shared" si="3"/>
        <v>#REF!</v>
      </c>
      <c r="G78" s="23">
        <f t="shared" si="4"/>
        <v>0</v>
      </c>
      <c r="H78" s="23">
        <f t="shared" si="5"/>
        <v>10</v>
      </c>
      <c r="I78" s="25" t="str">
        <f>IF(C78="","",'[1]Index Plate Layout'!#REF!)</f>
        <v/>
      </c>
      <c r="J78" s="28"/>
    </row>
    <row r="79" spans="1:10" ht="17" thickBot="1" x14ac:dyDescent="0.25">
      <c r="A79" s="27" t="s">
        <v>103</v>
      </c>
      <c r="B79" s="21"/>
      <c r="C79" s="29"/>
      <c r="D79" s="23" t="e">
        <f>VLOOKUP(C79,[1]Sheet1!#REF!:[1]Sheet1!#REF!,2,FALSE)</f>
        <v>#REF!</v>
      </c>
      <c r="E79" s="23">
        <v>10</v>
      </c>
      <c r="F79" s="23" t="e">
        <f t="shared" si="3"/>
        <v>#REF!</v>
      </c>
      <c r="G79" s="23">
        <f t="shared" si="4"/>
        <v>0</v>
      </c>
      <c r="H79" s="23">
        <f t="shared" si="5"/>
        <v>10</v>
      </c>
      <c r="I79" s="25" t="str">
        <f>IF(C79="","",'[1]Index Plate Layout'!#REF!)</f>
        <v/>
      </c>
      <c r="J79" s="28"/>
    </row>
    <row r="80" spans="1:10" ht="17" thickBot="1" x14ac:dyDescent="0.25">
      <c r="A80" s="27" t="s">
        <v>104</v>
      </c>
      <c r="B80" s="21"/>
      <c r="C80" s="29"/>
      <c r="D80" s="23" t="e">
        <f>VLOOKUP(C80,[1]Sheet1!#REF!:[1]Sheet1!#REF!,2,FALSE)</f>
        <v>#REF!</v>
      </c>
      <c r="E80" s="23">
        <v>10</v>
      </c>
      <c r="F80" s="23" t="e">
        <f t="shared" si="3"/>
        <v>#REF!</v>
      </c>
      <c r="G80" s="23">
        <f t="shared" si="4"/>
        <v>0</v>
      </c>
      <c r="H80" s="23">
        <f t="shared" si="5"/>
        <v>10</v>
      </c>
      <c r="I80" s="25" t="str">
        <f>IF(C80="","",'[1]Index Plate Layout'!#REF!)</f>
        <v/>
      </c>
      <c r="J80" s="28"/>
    </row>
    <row r="81" spans="1:10" ht="17" thickBot="1" x14ac:dyDescent="0.25">
      <c r="A81" s="27" t="s">
        <v>105</v>
      </c>
      <c r="B81" s="21"/>
      <c r="C81" s="29"/>
      <c r="D81" s="23" t="e">
        <f>VLOOKUP(C81,[1]Sheet1!#REF!:[1]Sheet1!#REF!,2,FALSE)</f>
        <v>#REF!</v>
      </c>
      <c r="E81" s="23">
        <v>10</v>
      </c>
      <c r="F81" s="23" t="e">
        <f t="shared" si="3"/>
        <v>#REF!</v>
      </c>
      <c r="G81" s="23">
        <f t="shared" si="4"/>
        <v>0</v>
      </c>
      <c r="H81" s="23">
        <f t="shared" si="5"/>
        <v>10</v>
      </c>
      <c r="I81" s="25" t="str">
        <f>IF(C81="","",'[1]Index Plate Layout'!#REF!)</f>
        <v/>
      </c>
      <c r="J81" s="28"/>
    </row>
    <row r="82" spans="1:10" ht="17" thickBot="1" x14ac:dyDescent="0.25">
      <c r="A82" s="27" t="s">
        <v>106</v>
      </c>
      <c r="B82" s="21"/>
      <c r="C82" s="29"/>
      <c r="D82" s="23" t="e">
        <f>VLOOKUP(C82,[1]Sheet1!#REF!:[1]Sheet1!#REF!,2,FALSE)</f>
        <v>#REF!</v>
      </c>
      <c r="E82" s="23">
        <v>10</v>
      </c>
      <c r="F82" s="23" t="e">
        <f t="shared" si="3"/>
        <v>#REF!</v>
      </c>
      <c r="G82" s="23">
        <f t="shared" si="4"/>
        <v>0</v>
      </c>
      <c r="H82" s="23">
        <f t="shared" si="5"/>
        <v>10</v>
      </c>
      <c r="I82" s="25" t="str">
        <f>IF(C82="","",'[1]Index Plate Layout'!#REF!)</f>
        <v/>
      </c>
      <c r="J82" s="28"/>
    </row>
    <row r="83" spans="1:10" ht="17" thickBot="1" x14ac:dyDescent="0.25">
      <c r="A83" s="27" t="s">
        <v>107</v>
      </c>
      <c r="B83" s="21"/>
      <c r="C83" s="29"/>
      <c r="D83" s="23" t="e">
        <f>VLOOKUP(C83,[1]Sheet1!#REF!:[1]Sheet1!#REF!,2,FALSE)</f>
        <v>#REF!</v>
      </c>
      <c r="E83" s="23">
        <v>10</v>
      </c>
      <c r="F83" s="23" t="e">
        <f t="shared" si="3"/>
        <v>#REF!</v>
      </c>
      <c r="G83" s="23">
        <f t="shared" si="4"/>
        <v>0</v>
      </c>
      <c r="H83" s="23">
        <f t="shared" si="5"/>
        <v>10</v>
      </c>
      <c r="I83" s="25" t="str">
        <f>IF(C83="","",'[1]Index Plate Layout'!#REF!)</f>
        <v/>
      </c>
      <c r="J83" s="28"/>
    </row>
    <row r="84" spans="1:10" ht="17" thickBot="1" x14ac:dyDescent="0.25">
      <c r="A84" s="27" t="s">
        <v>108</v>
      </c>
      <c r="B84" s="21"/>
      <c r="C84" s="29"/>
      <c r="D84" s="23" t="e">
        <f>VLOOKUP(C84,[1]Sheet1!#REF!:[1]Sheet1!#REF!,2,FALSE)</f>
        <v>#REF!</v>
      </c>
      <c r="E84" s="23">
        <v>10</v>
      </c>
      <c r="F84" s="23" t="e">
        <f t="shared" si="3"/>
        <v>#REF!</v>
      </c>
      <c r="G84" s="23">
        <f t="shared" si="4"/>
        <v>0</v>
      </c>
      <c r="H84" s="23">
        <f t="shared" si="5"/>
        <v>10</v>
      </c>
      <c r="I84" s="25" t="str">
        <f>IF(C84="","",'[1]Index Plate Layout'!#REF!)</f>
        <v/>
      </c>
      <c r="J84" s="28"/>
    </row>
    <row r="85" spans="1:10" ht="17" thickBot="1" x14ac:dyDescent="0.25">
      <c r="A85" s="27" t="s">
        <v>109</v>
      </c>
      <c r="B85" s="21"/>
      <c r="C85" s="29"/>
      <c r="D85" s="23" t="e">
        <f>VLOOKUP(C85,[1]Sheet1!#REF!:[1]Sheet1!#REF!,2,FALSE)</f>
        <v>#REF!</v>
      </c>
      <c r="E85" s="23">
        <v>10</v>
      </c>
      <c r="F85" s="23" t="e">
        <f t="shared" si="3"/>
        <v>#REF!</v>
      </c>
      <c r="G85" s="23">
        <f t="shared" si="4"/>
        <v>0</v>
      </c>
      <c r="H85" s="23">
        <f t="shared" si="5"/>
        <v>10</v>
      </c>
      <c r="I85" s="25" t="str">
        <f>IF(C85="","",'[1]Index Plate Layout'!#REF!)</f>
        <v/>
      </c>
      <c r="J85" s="28"/>
    </row>
    <row r="86" spans="1:10" ht="17" thickBot="1" x14ac:dyDescent="0.25">
      <c r="A86" s="27" t="s">
        <v>110</v>
      </c>
      <c r="B86" s="21"/>
      <c r="C86" s="29"/>
      <c r="D86" s="23" t="e">
        <f>VLOOKUP(C86,[1]Sheet1!#REF!:[1]Sheet1!#REF!,2,FALSE)</f>
        <v>#REF!</v>
      </c>
      <c r="E86" s="23">
        <v>10</v>
      </c>
      <c r="F86" s="23" t="e">
        <f t="shared" si="3"/>
        <v>#REF!</v>
      </c>
      <c r="G86" s="23">
        <f t="shared" si="4"/>
        <v>0</v>
      </c>
      <c r="H86" s="23">
        <f t="shared" si="5"/>
        <v>10</v>
      </c>
      <c r="I86" s="25" t="str">
        <f>IF(C86="","",'[1]Index Plate Layout'!#REF!)</f>
        <v/>
      </c>
      <c r="J86" s="28"/>
    </row>
    <row r="87" spans="1:10" ht="17" thickBot="1" x14ac:dyDescent="0.25">
      <c r="A87" s="27" t="s">
        <v>111</v>
      </c>
      <c r="B87" s="21"/>
      <c r="C87" s="29"/>
      <c r="D87" s="23" t="e">
        <f>VLOOKUP(C87,[1]Sheet1!#REF!:[1]Sheet1!#REF!,2,FALSE)</f>
        <v>#REF!</v>
      </c>
      <c r="E87" s="23">
        <v>10</v>
      </c>
      <c r="F87" s="23" t="e">
        <f t="shared" si="3"/>
        <v>#REF!</v>
      </c>
      <c r="G87" s="23">
        <f t="shared" si="4"/>
        <v>0</v>
      </c>
      <c r="H87" s="23">
        <f t="shared" si="5"/>
        <v>10</v>
      </c>
      <c r="I87" s="25" t="str">
        <f>IF(C87="","",'[1]Index Plate Layout'!#REF!)</f>
        <v/>
      </c>
      <c r="J87" s="28"/>
    </row>
    <row r="88" spans="1:10" ht="17" thickBot="1" x14ac:dyDescent="0.25">
      <c r="A88" s="27" t="s">
        <v>112</v>
      </c>
      <c r="B88" s="21"/>
      <c r="C88" s="29"/>
      <c r="D88" s="23" t="e">
        <f>VLOOKUP(C88,[1]Sheet1!#REF!:[1]Sheet1!#REF!,2,FALSE)</f>
        <v>#REF!</v>
      </c>
      <c r="E88" s="23">
        <v>10</v>
      </c>
      <c r="F88" s="23" t="e">
        <f t="shared" si="3"/>
        <v>#REF!</v>
      </c>
      <c r="G88" s="23">
        <f t="shared" si="4"/>
        <v>0</v>
      </c>
      <c r="H88" s="23">
        <f t="shared" si="5"/>
        <v>10</v>
      </c>
      <c r="I88" s="25" t="str">
        <f>IF(C88="","",'[1]Index Plate Layout'!#REF!)</f>
        <v/>
      </c>
      <c r="J88" s="28"/>
    </row>
    <row r="89" spans="1:10" ht="17" thickBot="1" x14ac:dyDescent="0.25">
      <c r="A89" s="27" t="s">
        <v>113</v>
      </c>
      <c r="B89" s="21"/>
      <c r="C89" s="29"/>
      <c r="D89" s="23" t="e">
        <f>VLOOKUP(C89,[1]Sheet1!#REF!:[1]Sheet1!#REF!,2,FALSE)</f>
        <v>#REF!</v>
      </c>
      <c r="E89" s="23">
        <v>10</v>
      </c>
      <c r="F89" s="23" t="e">
        <f t="shared" si="3"/>
        <v>#REF!</v>
      </c>
      <c r="G89" s="23">
        <f t="shared" si="4"/>
        <v>0</v>
      </c>
      <c r="H89" s="23">
        <f t="shared" si="5"/>
        <v>10</v>
      </c>
      <c r="I89" s="25" t="str">
        <f>IF(C89="","",'[1]Index Plate Layout'!#REF!)</f>
        <v/>
      </c>
      <c r="J89" s="28"/>
    </row>
    <row r="90" spans="1:10" ht="17" thickBot="1" x14ac:dyDescent="0.25">
      <c r="A90" s="27" t="s">
        <v>114</v>
      </c>
      <c r="B90" s="21"/>
      <c r="C90" s="29"/>
      <c r="D90" s="23" t="e">
        <f>VLOOKUP(C90,[1]Sheet1!#REF!:[1]Sheet1!#REF!,2,FALSE)</f>
        <v>#REF!</v>
      </c>
      <c r="E90" s="23">
        <v>10</v>
      </c>
      <c r="F90" s="23" t="e">
        <f t="shared" si="3"/>
        <v>#REF!</v>
      </c>
      <c r="G90" s="23">
        <f t="shared" si="4"/>
        <v>0</v>
      </c>
      <c r="H90" s="23">
        <f t="shared" si="5"/>
        <v>10</v>
      </c>
      <c r="I90" s="25" t="str">
        <f>IF(C90="","",'[1]Index Plate Layout'!#REF!)</f>
        <v/>
      </c>
      <c r="J90" s="28"/>
    </row>
    <row r="91" spans="1:10" ht="17" thickBot="1" x14ac:dyDescent="0.25">
      <c r="A91" s="27" t="s">
        <v>115</v>
      </c>
      <c r="B91" s="21"/>
      <c r="C91" s="29"/>
      <c r="D91" s="23" t="e">
        <f>VLOOKUP(C91,[1]Sheet1!#REF!:[1]Sheet1!#REF!,2,FALSE)</f>
        <v>#REF!</v>
      </c>
      <c r="E91" s="23">
        <v>10</v>
      </c>
      <c r="F91" s="23" t="e">
        <f t="shared" si="3"/>
        <v>#REF!</v>
      </c>
      <c r="G91" s="23">
        <f t="shared" si="4"/>
        <v>0</v>
      </c>
      <c r="H91" s="23">
        <f t="shared" si="5"/>
        <v>10</v>
      </c>
      <c r="I91" s="25" t="str">
        <f>IF(C91="","",'[1]Index Plate Layout'!#REF!)</f>
        <v/>
      </c>
      <c r="J91" s="28"/>
    </row>
    <row r="92" spans="1:10" ht="17" thickBot="1" x14ac:dyDescent="0.25">
      <c r="A92" s="27" t="s">
        <v>116</v>
      </c>
      <c r="B92" s="21"/>
      <c r="C92" s="29"/>
      <c r="D92" s="23" t="e">
        <f>VLOOKUP(C92,[1]Sheet1!#REF!:[1]Sheet1!#REF!,2,FALSE)</f>
        <v>#REF!</v>
      </c>
      <c r="E92" s="23">
        <v>10</v>
      </c>
      <c r="F92" s="23" t="e">
        <f t="shared" si="3"/>
        <v>#REF!</v>
      </c>
      <c r="G92" s="23">
        <f t="shared" si="4"/>
        <v>0</v>
      </c>
      <c r="H92" s="23">
        <f t="shared" si="5"/>
        <v>10</v>
      </c>
      <c r="I92" s="25" t="str">
        <f>IF(C92="","",'[1]Index Plate Layout'!#REF!)</f>
        <v/>
      </c>
      <c r="J92" s="28"/>
    </row>
    <row r="93" spans="1:10" ht="17" thickBot="1" x14ac:dyDescent="0.25">
      <c r="A93" s="27" t="s">
        <v>117</v>
      </c>
      <c r="B93" s="21"/>
      <c r="C93" s="29"/>
      <c r="D93" s="23" t="e">
        <f>VLOOKUP(C93,[1]Sheet1!#REF!:[1]Sheet1!#REF!,2,FALSE)</f>
        <v>#REF!</v>
      </c>
      <c r="E93" s="23">
        <v>10</v>
      </c>
      <c r="F93" s="23" t="e">
        <f t="shared" si="3"/>
        <v>#REF!</v>
      </c>
      <c r="G93" s="23">
        <f t="shared" si="4"/>
        <v>0</v>
      </c>
      <c r="H93" s="23">
        <f t="shared" si="5"/>
        <v>10</v>
      </c>
      <c r="I93" s="25" t="str">
        <f>IF(C93="","",'[1]Index Plate Layout'!#REF!)</f>
        <v/>
      </c>
      <c r="J93" s="28"/>
    </row>
    <row r="94" spans="1:10" ht="17" thickBot="1" x14ac:dyDescent="0.25">
      <c r="A94" s="27" t="s">
        <v>118</v>
      </c>
      <c r="B94" s="21"/>
      <c r="C94" s="29"/>
      <c r="D94" s="23" t="e">
        <f>VLOOKUP(C94,[1]Sheet1!#REF!:[1]Sheet1!#REF!,2,FALSE)</f>
        <v>#REF!</v>
      </c>
      <c r="E94" s="23">
        <v>10</v>
      </c>
      <c r="F94" s="23" t="e">
        <f t="shared" si="3"/>
        <v>#REF!</v>
      </c>
      <c r="G94" s="23">
        <f t="shared" si="4"/>
        <v>0</v>
      </c>
      <c r="H94" s="23">
        <f t="shared" si="5"/>
        <v>10</v>
      </c>
      <c r="I94" s="25" t="str">
        <f>IF(C94="","",'[1]Index Plate Layout'!#REF!)</f>
        <v/>
      </c>
      <c r="J94" s="28"/>
    </row>
    <row r="95" spans="1:10" ht="17" thickBot="1" x14ac:dyDescent="0.25">
      <c r="A95" s="27" t="s">
        <v>119</v>
      </c>
      <c r="B95" s="21"/>
      <c r="C95" s="29"/>
      <c r="D95" s="23" t="e">
        <f>VLOOKUP(C95,[1]Sheet1!#REF!:[1]Sheet1!#REF!,2,FALSE)</f>
        <v>#REF!</v>
      </c>
      <c r="E95" s="23">
        <v>10</v>
      </c>
      <c r="F95" s="23" t="e">
        <f t="shared" si="3"/>
        <v>#REF!</v>
      </c>
      <c r="G95" s="23">
        <f t="shared" si="4"/>
        <v>0</v>
      </c>
      <c r="H95" s="23">
        <f t="shared" si="5"/>
        <v>10</v>
      </c>
      <c r="I95" s="25" t="str">
        <f>IF(C95="","",'[1]Index Plate Layout'!#REF!)</f>
        <v/>
      </c>
      <c r="J95" s="28"/>
    </row>
    <row r="96" spans="1:10" ht="17" thickBot="1" x14ac:dyDescent="0.25">
      <c r="A96" s="27" t="s">
        <v>120</v>
      </c>
      <c r="B96" s="21"/>
      <c r="C96" s="29"/>
      <c r="D96" s="23" t="e">
        <f>VLOOKUP(C96,[1]Sheet1!#REF!:[1]Sheet1!#REF!,2,FALSE)</f>
        <v>#REF!</v>
      </c>
      <c r="E96" s="23">
        <v>10</v>
      </c>
      <c r="F96" s="23" t="e">
        <f t="shared" si="3"/>
        <v>#REF!</v>
      </c>
      <c r="G96" s="23">
        <f t="shared" si="4"/>
        <v>0</v>
      </c>
      <c r="H96" s="23">
        <f t="shared" si="5"/>
        <v>10</v>
      </c>
      <c r="I96" s="25" t="str">
        <f>IF(C96="","",'[1]Index Plate Layout'!#REF!)</f>
        <v/>
      </c>
      <c r="J96" s="28"/>
    </row>
    <row r="97" spans="1:10" ht="17" thickBot="1" x14ac:dyDescent="0.25">
      <c r="A97" s="30" t="s">
        <v>121</v>
      </c>
      <c r="B97" s="31"/>
      <c r="C97" s="32"/>
      <c r="D97" s="23" t="e">
        <f>VLOOKUP(C97,[1]Sheet1!#REF!:[1]Sheet1!#REF!,2,FALSE)</f>
        <v>#REF!</v>
      </c>
      <c r="E97" s="31">
        <v>10</v>
      </c>
      <c r="F97" s="31" t="e">
        <f t="shared" si="3"/>
        <v>#REF!</v>
      </c>
      <c r="G97" s="31">
        <f t="shared" si="4"/>
        <v>0</v>
      </c>
      <c r="H97" s="31">
        <f t="shared" si="5"/>
        <v>10</v>
      </c>
      <c r="I97" s="25" t="str">
        <f>IF(C97="","",'[1]Index Plate Layout'!#REF!)</f>
        <v/>
      </c>
      <c r="J97" s="3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9E58E-4279-3741-81C7-591D3DC2DE7A}">
  <sheetPr codeName="Sheet4"/>
  <dimension ref="A1:E98"/>
  <sheetViews>
    <sheetView workbookViewId="0">
      <selection sqref="A1:E1"/>
    </sheetView>
  </sheetViews>
  <sheetFormatPr baseColWidth="10" defaultColWidth="11.1640625" defaultRowHeight="16" x14ac:dyDescent="0.2"/>
  <cols>
    <col min="5" max="5" width="13.1640625" bestFit="1" customWidth="1"/>
  </cols>
  <sheetData>
    <row r="1" spans="1:5" ht="19" x14ac:dyDescent="0.25">
      <c r="A1" s="37" t="s">
        <v>0</v>
      </c>
      <c r="B1" s="37"/>
      <c r="C1" s="37"/>
      <c r="D1" s="37"/>
      <c r="E1" s="37"/>
    </row>
    <row r="2" spans="1:5" ht="19" x14ac:dyDescent="0.25">
      <c r="A2" s="34" t="s">
        <v>122</v>
      </c>
      <c r="B2" s="34" t="s">
        <v>10</v>
      </c>
      <c r="C2" s="34" t="s">
        <v>123</v>
      </c>
      <c r="D2" s="34" t="s">
        <v>124</v>
      </c>
      <c r="E2" s="34" t="s">
        <v>18</v>
      </c>
    </row>
    <row r="3" spans="1:5" x14ac:dyDescent="0.2">
      <c r="A3" s="35" t="s">
        <v>125</v>
      </c>
      <c r="B3" s="12">
        <f>IF('[1]Enter Samples Here'!R2="","",'[1]Enter Samples Here'!R2)</f>
        <v>500</v>
      </c>
      <c r="C3" s="12" t="str">
        <f>IF(ISNA(VLOOKUP('[1]Enter Samples Here'!$AS2,'[1]Index Plate Layout'!$AF$2:$AI$97,3,FALSE)),"",VLOOKUP('[1]Enter Samples Here'!$AS2,'[1]Index Plate Layout'!$AF$2:$AI$97,3,FALSE))</f>
        <v/>
      </c>
      <c r="D3" s="12" t="str">
        <f>IF(ISNA(VLOOKUP('[1]Enter Samples Here'!X2,'[1]Index Plate Layout'!$AF$2:$AI$97,4,FALSE)),"",VLOOKUP('[1]Enter Samples Here'!X2,'[1]Index Plate Layout'!$AF$2:$AI$97,4,FALSE))</f>
        <v/>
      </c>
      <c r="E3" s="12">
        <f>IF('[1]Enter Samples Here'!Q2="","",'[1]Enter Samples Here'!Q2)</f>
        <v>10</v>
      </c>
    </row>
    <row r="4" spans="1:5" x14ac:dyDescent="0.2">
      <c r="A4" s="35" t="s">
        <v>126</v>
      </c>
      <c r="B4" s="12">
        <f>IF('[1]Enter Samples Here'!R3="","",'[1]Enter Samples Here'!R3)</f>
        <v>500</v>
      </c>
      <c r="C4" s="12" t="str">
        <f>IF(ISNA(VLOOKUP('[1]Enter Samples Here'!$AS3,'[1]Index Plate Layout'!$AF$2:$AI$97,3,FALSE)),"",VLOOKUP('[1]Enter Samples Here'!$AS3,'[1]Index Plate Layout'!$AF$2:$AI$97,3,FALSE))</f>
        <v/>
      </c>
      <c r="D4" s="12" t="str">
        <f>IF(ISNA(VLOOKUP('[1]Enter Samples Here'!X3,'[1]Index Plate Layout'!$AF$2:$AI$97,4,FALSE)),"",VLOOKUP('[1]Enter Samples Here'!X3,'[1]Index Plate Layout'!$AF$2:$AI$97,4,FALSE))</f>
        <v/>
      </c>
      <c r="E4" s="12">
        <f>IF('[1]Enter Samples Here'!Q3="","",'[1]Enter Samples Here'!Q3)</f>
        <v>10</v>
      </c>
    </row>
    <row r="5" spans="1:5" x14ac:dyDescent="0.2">
      <c r="A5" s="35" t="s">
        <v>127</v>
      </c>
      <c r="B5" s="12">
        <f>IF('[1]Enter Samples Here'!R4="","",'[1]Enter Samples Here'!R4)</f>
        <v>500</v>
      </c>
      <c r="C5" s="12" t="str">
        <f>IF(ISNA(VLOOKUP('[1]Enter Samples Here'!$AS4,'[1]Index Plate Layout'!$AF$2:$AI$97,3,FALSE)),"",VLOOKUP('[1]Enter Samples Here'!$AS4,'[1]Index Plate Layout'!$AF$2:$AI$97,3,FALSE))</f>
        <v/>
      </c>
      <c r="D5" s="12" t="str">
        <f>IF(ISNA(VLOOKUP('[1]Enter Samples Here'!X4,'[1]Index Plate Layout'!$AF$2:$AI$97,4,FALSE)),"",VLOOKUP('[1]Enter Samples Here'!X4,'[1]Index Plate Layout'!$AF$2:$AI$97,4,FALSE))</f>
        <v/>
      </c>
      <c r="E5" s="12">
        <f>IF('[1]Enter Samples Here'!Q4="","",'[1]Enter Samples Here'!Q4)</f>
        <v>10</v>
      </c>
    </row>
    <row r="6" spans="1:5" x14ac:dyDescent="0.2">
      <c r="A6" s="35" t="s">
        <v>128</v>
      </c>
      <c r="B6" s="12">
        <f>IF('[1]Enter Samples Here'!R5="","",'[1]Enter Samples Here'!R5)</f>
        <v>500</v>
      </c>
      <c r="C6" s="12" t="str">
        <f>IF(ISNA(VLOOKUP('[1]Enter Samples Here'!$AS5,'[1]Index Plate Layout'!$AF$2:$AI$97,3,FALSE)),"",VLOOKUP('[1]Enter Samples Here'!$AS5,'[1]Index Plate Layout'!$AF$2:$AI$97,3,FALSE))</f>
        <v/>
      </c>
      <c r="D6" s="12" t="str">
        <f>IF(ISNA(VLOOKUP('[1]Enter Samples Here'!X5,'[1]Index Plate Layout'!$AF$2:$AI$97,4,FALSE)),"",VLOOKUP('[1]Enter Samples Here'!X5,'[1]Index Plate Layout'!$AF$2:$AI$97,4,FALSE))</f>
        <v/>
      </c>
      <c r="E6" s="12">
        <f>IF('[1]Enter Samples Here'!Q5="","",'[1]Enter Samples Here'!Q5)</f>
        <v>10</v>
      </c>
    </row>
    <row r="7" spans="1:5" x14ac:dyDescent="0.2">
      <c r="A7" s="35" t="s">
        <v>129</v>
      </c>
      <c r="B7" s="12">
        <f>IF('[1]Enter Samples Here'!R6="","",'[1]Enter Samples Here'!R6)</f>
        <v>500</v>
      </c>
      <c r="C7" s="12" t="str">
        <f>IF(ISNA(VLOOKUP('[1]Enter Samples Here'!$AS6,'[1]Index Plate Layout'!$AF$2:$AI$97,3,FALSE)),"",VLOOKUP('[1]Enter Samples Here'!$AS6,'[1]Index Plate Layout'!$AF$2:$AI$97,3,FALSE))</f>
        <v/>
      </c>
      <c r="D7" s="12" t="str">
        <f>IF(ISNA(VLOOKUP('[1]Enter Samples Here'!X6,'[1]Index Plate Layout'!$AF$2:$AI$97,4,FALSE)),"",VLOOKUP('[1]Enter Samples Here'!X6,'[1]Index Plate Layout'!$AF$2:$AI$97,4,FALSE))</f>
        <v/>
      </c>
      <c r="E7" s="12">
        <f>IF('[1]Enter Samples Here'!Q6="","",'[1]Enter Samples Here'!Q6)</f>
        <v>10</v>
      </c>
    </row>
    <row r="8" spans="1:5" x14ac:dyDescent="0.2">
      <c r="A8" s="35" t="s">
        <v>130</v>
      </c>
      <c r="B8" s="12">
        <f>IF('[1]Enter Samples Here'!R7="","",'[1]Enter Samples Here'!R7)</f>
        <v>500</v>
      </c>
      <c r="C8" s="12" t="str">
        <f>IF(ISNA(VLOOKUP('[1]Enter Samples Here'!$AS7,'[1]Index Plate Layout'!$AF$2:$AI$97,3,FALSE)),"",VLOOKUP('[1]Enter Samples Here'!$AS7,'[1]Index Plate Layout'!$AF$2:$AI$97,3,FALSE))</f>
        <v/>
      </c>
      <c r="D8" s="12" t="str">
        <f>IF(ISNA(VLOOKUP('[1]Enter Samples Here'!X7,'[1]Index Plate Layout'!$AF$2:$AI$97,4,FALSE)),"",VLOOKUP('[1]Enter Samples Here'!X7,'[1]Index Plate Layout'!$AF$2:$AI$97,4,FALSE))</f>
        <v/>
      </c>
      <c r="E8" s="12">
        <f>IF('[1]Enter Samples Here'!Q7="","",'[1]Enter Samples Here'!Q7)</f>
        <v>10</v>
      </c>
    </row>
    <row r="9" spans="1:5" x14ac:dyDescent="0.2">
      <c r="A9" s="35" t="s">
        <v>131</v>
      </c>
      <c r="B9" s="12">
        <f>IF('[1]Enter Samples Here'!R8="","",'[1]Enter Samples Here'!R8)</f>
        <v>500</v>
      </c>
      <c r="C9" s="12" t="str">
        <f>IF(ISNA(VLOOKUP('[1]Enter Samples Here'!$AS8,'[1]Index Plate Layout'!$AF$2:$AI$97,3,FALSE)),"",VLOOKUP('[1]Enter Samples Here'!$AS8,'[1]Index Plate Layout'!$AF$2:$AI$97,3,FALSE))</f>
        <v/>
      </c>
      <c r="D9" s="12" t="str">
        <f>IF(ISNA(VLOOKUP('[1]Enter Samples Here'!X8,'[1]Index Plate Layout'!$AF$2:$AI$97,4,FALSE)),"",VLOOKUP('[1]Enter Samples Here'!X8,'[1]Index Plate Layout'!$AF$2:$AI$97,4,FALSE))</f>
        <v/>
      </c>
      <c r="E9" s="12">
        <f>IF('[1]Enter Samples Here'!Q8="","",'[1]Enter Samples Here'!Q8)</f>
        <v>10</v>
      </c>
    </row>
    <row r="10" spans="1:5" x14ac:dyDescent="0.2">
      <c r="A10" s="35" t="s">
        <v>132</v>
      </c>
      <c r="B10" s="12">
        <f>IF('[1]Enter Samples Here'!R9="","",'[1]Enter Samples Here'!R9)</f>
        <v>500</v>
      </c>
      <c r="C10" s="12" t="str">
        <f>IF(ISNA(VLOOKUP('[1]Enter Samples Here'!$AS9,'[1]Index Plate Layout'!$AF$2:$AI$97,3,FALSE)),"",VLOOKUP('[1]Enter Samples Here'!$AS9,'[1]Index Plate Layout'!$AF$2:$AI$97,3,FALSE))</f>
        <v/>
      </c>
      <c r="D10" s="12" t="str">
        <f>IF(ISNA(VLOOKUP('[1]Enter Samples Here'!X9,'[1]Index Plate Layout'!$AF$2:$AI$97,4,FALSE)),"",VLOOKUP('[1]Enter Samples Here'!X9,'[1]Index Plate Layout'!$AF$2:$AI$97,4,FALSE))</f>
        <v/>
      </c>
      <c r="E10" s="12">
        <f>IF('[1]Enter Samples Here'!Q9="","",'[1]Enter Samples Here'!Q9)</f>
        <v>10</v>
      </c>
    </row>
    <row r="11" spans="1:5" x14ac:dyDescent="0.2">
      <c r="A11" s="35" t="s">
        <v>133</v>
      </c>
      <c r="B11" s="12">
        <f>IF('[1]Enter Samples Here'!R10="","",'[1]Enter Samples Here'!R10)</f>
        <v>500</v>
      </c>
      <c r="C11" s="12" t="str">
        <f>IF(ISNA(VLOOKUP('[1]Enter Samples Here'!$AS10,'[1]Index Plate Layout'!$AF$2:$AI$97,3,FALSE)),"",VLOOKUP('[1]Enter Samples Here'!$AS10,'[1]Index Plate Layout'!$AF$2:$AI$97,3,FALSE))</f>
        <v/>
      </c>
      <c r="D11" s="12" t="str">
        <f>IF(ISNA(VLOOKUP('[1]Enter Samples Here'!X10,'[1]Index Plate Layout'!$AF$2:$AI$97,4,FALSE)),"",VLOOKUP('[1]Enter Samples Here'!X10,'[1]Index Plate Layout'!$AF$2:$AI$97,4,FALSE))</f>
        <v/>
      </c>
      <c r="E11" s="12">
        <f>IF('[1]Enter Samples Here'!Q10="","",'[1]Enter Samples Here'!Q10)</f>
        <v>10</v>
      </c>
    </row>
    <row r="12" spans="1:5" x14ac:dyDescent="0.2">
      <c r="A12" s="35" t="s">
        <v>134</v>
      </c>
      <c r="B12" s="12">
        <f>IF('[1]Enter Samples Here'!R11="","",'[1]Enter Samples Here'!R11)</f>
        <v>500</v>
      </c>
      <c r="C12" s="12" t="str">
        <f>IF(ISNA(VLOOKUP('[1]Enter Samples Here'!$AS11,'[1]Index Plate Layout'!$AF$2:$AI$97,3,FALSE)),"",VLOOKUP('[1]Enter Samples Here'!$AS11,'[1]Index Plate Layout'!$AF$2:$AI$97,3,FALSE))</f>
        <v/>
      </c>
      <c r="D12" s="12" t="str">
        <f>IF(ISNA(VLOOKUP('[1]Enter Samples Here'!X11,'[1]Index Plate Layout'!$AF$2:$AI$97,4,FALSE)),"",VLOOKUP('[1]Enter Samples Here'!X11,'[1]Index Plate Layout'!$AF$2:$AI$97,4,FALSE))</f>
        <v/>
      </c>
      <c r="E12" s="12">
        <f>IF('[1]Enter Samples Here'!Q11="","",'[1]Enter Samples Here'!Q11)</f>
        <v>10</v>
      </c>
    </row>
    <row r="13" spans="1:5" x14ac:dyDescent="0.2">
      <c r="A13" s="35" t="s">
        <v>135</v>
      </c>
      <c r="B13" s="12">
        <f>IF('[1]Enter Samples Here'!R12="","",'[1]Enter Samples Here'!R12)</f>
        <v>500</v>
      </c>
      <c r="C13" s="12" t="str">
        <f>IF(ISNA(VLOOKUP('[1]Enter Samples Here'!$AS12,'[1]Index Plate Layout'!$AF$2:$AI$97,3,FALSE)),"",VLOOKUP('[1]Enter Samples Here'!$AS12,'[1]Index Plate Layout'!$AF$2:$AI$97,3,FALSE))</f>
        <v/>
      </c>
      <c r="D13" s="12" t="str">
        <f>IF(ISNA(VLOOKUP('[1]Enter Samples Here'!X12,'[1]Index Plate Layout'!$AF$2:$AI$97,4,FALSE)),"",VLOOKUP('[1]Enter Samples Here'!X12,'[1]Index Plate Layout'!$AF$2:$AI$97,4,FALSE))</f>
        <v/>
      </c>
      <c r="E13" s="12">
        <f>IF('[1]Enter Samples Here'!Q12="","",'[1]Enter Samples Here'!Q12)</f>
        <v>10</v>
      </c>
    </row>
    <row r="14" spans="1:5" x14ac:dyDescent="0.2">
      <c r="A14" s="35" t="s">
        <v>136</v>
      </c>
      <c r="B14" s="12">
        <f>IF('[1]Enter Samples Here'!R13="","",'[1]Enter Samples Here'!R13)</f>
        <v>500</v>
      </c>
      <c r="C14" s="12" t="str">
        <f>IF(ISNA(VLOOKUP('[1]Enter Samples Here'!$AS13,'[1]Index Plate Layout'!$AF$2:$AI$97,3,FALSE)),"",VLOOKUP('[1]Enter Samples Here'!$AS13,'[1]Index Plate Layout'!$AF$2:$AI$97,3,FALSE))</f>
        <v/>
      </c>
      <c r="D14" s="12" t="str">
        <f>IF(ISNA(VLOOKUP('[1]Enter Samples Here'!X13,'[1]Index Plate Layout'!$AF$2:$AI$97,4,FALSE)),"",VLOOKUP('[1]Enter Samples Here'!X13,'[1]Index Plate Layout'!$AF$2:$AI$97,4,FALSE))</f>
        <v/>
      </c>
      <c r="E14" s="12">
        <f>IF('[1]Enter Samples Here'!Q13="","",'[1]Enter Samples Here'!Q13)</f>
        <v>10</v>
      </c>
    </row>
    <row r="15" spans="1:5" x14ac:dyDescent="0.2">
      <c r="A15" s="35" t="s">
        <v>137</v>
      </c>
      <c r="B15" s="12">
        <f>IF('[1]Enter Samples Here'!R14="","",'[1]Enter Samples Here'!R14)</f>
        <v>500</v>
      </c>
      <c r="C15" s="12" t="str">
        <f>IF(ISNA(VLOOKUP('[1]Enter Samples Here'!$AS14,'[1]Index Plate Layout'!$AF$2:$AI$97,3,FALSE)),"",VLOOKUP('[1]Enter Samples Here'!$AS14,'[1]Index Plate Layout'!$AF$2:$AI$97,3,FALSE))</f>
        <v/>
      </c>
      <c r="D15" s="12" t="str">
        <f>IF(ISNA(VLOOKUP('[1]Enter Samples Here'!X14,'[1]Index Plate Layout'!$AF$2:$AI$97,4,FALSE)),"",VLOOKUP('[1]Enter Samples Here'!X14,'[1]Index Plate Layout'!$AF$2:$AI$97,4,FALSE))</f>
        <v/>
      </c>
      <c r="E15" s="12">
        <f>IF('[1]Enter Samples Here'!Q14="","",'[1]Enter Samples Here'!Q14)</f>
        <v>10</v>
      </c>
    </row>
    <row r="16" spans="1:5" x14ac:dyDescent="0.2">
      <c r="A16" s="35" t="s">
        <v>138</v>
      </c>
      <c r="B16" s="12">
        <f>IF('[1]Enter Samples Here'!R15="","",'[1]Enter Samples Here'!R15)</f>
        <v>500</v>
      </c>
      <c r="C16" s="12" t="str">
        <f>IF(ISNA(VLOOKUP('[1]Enter Samples Here'!$AS15,'[1]Index Plate Layout'!$AF$2:$AI$97,3,FALSE)),"",VLOOKUP('[1]Enter Samples Here'!$AS15,'[1]Index Plate Layout'!$AF$2:$AI$97,3,FALSE))</f>
        <v/>
      </c>
      <c r="D16" s="12" t="str">
        <f>IF(ISNA(VLOOKUP('[1]Enter Samples Here'!X15,'[1]Index Plate Layout'!$AF$2:$AI$97,4,FALSE)),"",VLOOKUP('[1]Enter Samples Here'!X15,'[1]Index Plate Layout'!$AF$2:$AI$97,4,FALSE))</f>
        <v/>
      </c>
      <c r="E16" s="12">
        <f>IF('[1]Enter Samples Here'!Q15="","",'[1]Enter Samples Here'!Q15)</f>
        <v>10</v>
      </c>
    </row>
    <row r="17" spans="1:5" x14ac:dyDescent="0.2">
      <c r="A17" s="35" t="s">
        <v>139</v>
      </c>
      <c r="B17" s="12">
        <f>IF('[1]Enter Samples Here'!R16="","",'[1]Enter Samples Here'!R16)</f>
        <v>500</v>
      </c>
      <c r="C17" s="12" t="str">
        <f>IF(ISNA(VLOOKUP('[1]Enter Samples Here'!$AS16,'[1]Index Plate Layout'!$AF$2:$AI$97,3,FALSE)),"",VLOOKUP('[1]Enter Samples Here'!$AS16,'[1]Index Plate Layout'!$AF$2:$AI$97,3,FALSE))</f>
        <v/>
      </c>
      <c r="D17" s="12" t="str">
        <f>IF(ISNA(VLOOKUP('[1]Enter Samples Here'!X16,'[1]Index Plate Layout'!$AF$2:$AI$97,4,FALSE)),"",VLOOKUP('[1]Enter Samples Here'!X16,'[1]Index Plate Layout'!$AF$2:$AI$97,4,FALSE))</f>
        <v/>
      </c>
      <c r="E17" s="12">
        <f>IF('[1]Enter Samples Here'!Q16="","",'[1]Enter Samples Here'!Q16)</f>
        <v>10</v>
      </c>
    </row>
    <row r="18" spans="1:5" x14ac:dyDescent="0.2">
      <c r="A18" s="35" t="s">
        <v>140</v>
      </c>
      <c r="B18" s="12">
        <f>IF('[1]Enter Samples Here'!R17="","",'[1]Enter Samples Here'!R17)</f>
        <v>500</v>
      </c>
      <c r="C18" s="12" t="str">
        <f>IF(ISNA(VLOOKUP('[1]Enter Samples Here'!$AS17,'[1]Index Plate Layout'!$AF$2:$AI$97,3,FALSE)),"",VLOOKUP('[1]Enter Samples Here'!$AS17,'[1]Index Plate Layout'!$AF$2:$AI$97,3,FALSE))</f>
        <v/>
      </c>
      <c r="D18" s="12" t="str">
        <f>IF(ISNA(VLOOKUP('[1]Enter Samples Here'!X17,'[1]Index Plate Layout'!$AF$2:$AI$97,4,FALSE)),"",VLOOKUP('[1]Enter Samples Here'!X17,'[1]Index Plate Layout'!$AF$2:$AI$97,4,FALSE))</f>
        <v/>
      </c>
      <c r="E18" s="12">
        <f>IF('[1]Enter Samples Here'!Q17="","",'[1]Enter Samples Here'!Q17)</f>
        <v>10</v>
      </c>
    </row>
    <row r="19" spans="1:5" x14ac:dyDescent="0.2">
      <c r="A19" s="35" t="s">
        <v>141</v>
      </c>
      <c r="B19" s="12">
        <f>IF('[1]Enter Samples Here'!R18="","",'[1]Enter Samples Here'!R18)</f>
        <v>500</v>
      </c>
      <c r="C19" s="12" t="str">
        <f>IF(ISNA(VLOOKUP('[1]Enter Samples Here'!$AS18,'[1]Index Plate Layout'!$AF$2:$AI$97,3,FALSE)),"",VLOOKUP('[1]Enter Samples Here'!$AS18,'[1]Index Plate Layout'!$AF$2:$AI$97,3,FALSE))</f>
        <v/>
      </c>
      <c r="D19" s="12" t="str">
        <f>IF(ISNA(VLOOKUP('[1]Enter Samples Here'!X18,'[1]Index Plate Layout'!$AF$2:$AI$97,4,FALSE)),"",VLOOKUP('[1]Enter Samples Here'!X18,'[1]Index Plate Layout'!$AF$2:$AI$97,4,FALSE))</f>
        <v/>
      </c>
      <c r="E19" s="12">
        <f>IF('[1]Enter Samples Here'!Q18="","",'[1]Enter Samples Here'!Q18)</f>
        <v>10</v>
      </c>
    </row>
    <row r="20" spans="1:5" x14ac:dyDescent="0.2">
      <c r="A20" s="35" t="s">
        <v>142</v>
      </c>
      <c r="B20" s="12">
        <f>IF('[1]Enter Samples Here'!R19="","",'[1]Enter Samples Here'!R19)</f>
        <v>500</v>
      </c>
      <c r="C20" s="12" t="str">
        <f>IF(ISNA(VLOOKUP('[1]Enter Samples Here'!$AS19,'[1]Index Plate Layout'!$AF$2:$AI$97,3,FALSE)),"",VLOOKUP('[1]Enter Samples Here'!$AS19,'[1]Index Plate Layout'!$AF$2:$AI$97,3,FALSE))</f>
        <v/>
      </c>
      <c r="D20" s="12" t="str">
        <f>IF(ISNA(VLOOKUP('[1]Enter Samples Here'!X19,'[1]Index Plate Layout'!$AF$2:$AI$97,4,FALSE)),"",VLOOKUP('[1]Enter Samples Here'!X19,'[1]Index Plate Layout'!$AF$2:$AI$97,4,FALSE))</f>
        <v/>
      </c>
      <c r="E20" s="12">
        <f>IF('[1]Enter Samples Here'!Q19="","",'[1]Enter Samples Here'!Q19)</f>
        <v>10</v>
      </c>
    </row>
    <row r="21" spans="1:5" x14ac:dyDescent="0.2">
      <c r="A21" s="35" t="s">
        <v>143</v>
      </c>
      <c r="B21" s="12">
        <f>IF('[1]Enter Samples Here'!R20="","",'[1]Enter Samples Here'!R20)</f>
        <v>500</v>
      </c>
      <c r="C21" s="12" t="str">
        <f>IF(ISNA(VLOOKUP('[1]Enter Samples Here'!$AS20,'[1]Index Plate Layout'!$AF$2:$AI$97,3,FALSE)),"",VLOOKUP('[1]Enter Samples Here'!$AS20,'[1]Index Plate Layout'!$AF$2:$AI$97,3,FALSE))</f>
        <v/>
      </c>
      <c r="D21" s="12" t="str">
        <f>IF(ISNA(VLOOKUP('[1]Enter Samples Here'!X20,'[1]Index Plate Layout'!$AF$2:$AI$97,4,FALSE)),"",VLOOKUP('[1]Enter Samples Here'!X20,'[1]Index Plate Layout'!$AF$2:$AI$97,4,FALSE))</f>
        <v/>
      </c>
      <c r="E21" s="12">
        <f>IF('[1]Enter Samples Here'!Q20="","",'[1]Enter Samples Here'!Q20)</f>
        <v>10</v>
      </c>
    </row>
    <row r="22" spans="1:5" x14ac:dyDescent="0.2">
      <c r="A22" s="35" t="s">
        <v>144</v>
      </c>
      <c r="B22" s="12">
        <f>IF('[1]Enter Samples Here'!R21="","",'[1]Enter Samples Here'!R21)</f>
        <v>500</v>
      </c>
      <c r="C22" s="12" t="str">
        <f>IF(ISNA(VLOOKUP('[1]Enter Samples Here'!$AS21,'[1]Index Plate Layout'!$AF$2:$AI$97,3,FALSE)),"",VLOOKUP('[1]Enter Samples Here'!$AS21,'[1]Index Plate Layout'!$AF$2:$AI$97,3,FALSE))</f>
        <v/>
      </c>
      <c r="D22" s="12" t="str">
        <f>IF(ISNA(VLOOKUP('[1]Enter Samples Here'!X21,'[1]Index Plate Layout'!$AF$2:$AI$97,4,FALSE)),"",VLOOKUP('[1]Enter Samples Here'!X21,'[1]Index Plate Layout'!$AF$2:$AI$97,4,FALSE))</f>
        <v/>
      </c>
      <c r="E22" s="12">
        <f>IF('[1]Enter Samples Here'!Q21="","",'[1]Enter Samples Here'!Q21)</f>
        <v>10</v>
      </c>
    </row>
    <row r="23" spans="1:5" x14ac:dyDescent="0.2">
      <c r="A23" s="35" t="s">
        <v>145</v>
      </c>
      <c r="B23" s="12">
        <f>IF('[1]Enter Samples Here'!R22="","",'[1]Enter Samples Here'!R22)</f>
        <v>500</v>
      </c>
      <c r="C23" s="12" t="str">
        <f>IF(ISNA(VLOOKUP('[1]Enter Samples Here'!$AS22,'[1]Index Plate Layout'!$AF$2:$AI$97,3,FALSE)),"",VLOOKUP('[1]Enter Samples Here'!$AS22,'[1]Index Plate Layout'!$AF$2:$AI$97,3,FALSE))</f>
        <v/>
      </c>
      <c r="D23" s="12" t="str">
        <f>IF(ISNA(VLOOKUP('[1]Enter Samples Here'!X22,'[1]Index Plate Layout'!$AF$2:$AI$97,4,FALSE)),"",VLOOKUP('[1]Enter Samples Here'!X22,'[1]Index Plate Layout'!$AF$2:$AI$97,4,FALSE))</f>
        <v/>
      </c>
      <c r="E23" s="12">
        <f>IF('[1]Enter Samples Here'!Q22="","",'[1]Enter Samples Here'!Q22)</f>
        <v>10</v>
      </c>
    </row>
    <row r="24" spans="1:5" x14ac:dyDescent="0.2">
      <c r="A24" s="35" t="s">
        <v>146</v>
      </c>
      <c r="B24" s="12">
        <f>IF('[1]Enter Samples Here'!R23="","",'[1]Enter Samples Here'!R23)</f>
        <v>500</v>
      </c>
      <c r="C24" s="12" t="str">
        <f>IF(ISNA(VLOOKUP('[1]Enter Samples Here'!$AS23,'[1]Index Plate Layout'!$AF$2:$AI$97,3,FALSE)),"",VLOOKUP('[1]Enter Samples Here'!$AS23,'[1]Index Plate Layout'!$AF$2:$AI$97,3,FALSE))</f>
        <v/>
      </c>
      <c r="D24" s="12" t="str">
        <f>IF(ISNA(VLOOKUP('[1]Enter Samples Here'!X23,'[1]Index Plate Layout'!$AF$2:$AI$97,4,FALSE)),"",VLOOKUP('[1]Enter Samples Here'!X23,'[1]Index Plate Layout'!$AF$2:$AI$97,4,FALSE))</f>
        <v/>
      </c>
      <c r="E24" s="12">
        <f>IF('[1]Enter Samples Here'!Q23="","",'[1]Enter Samples Here'!Q23)</f>
        <v>10</v>
      </c>
    </row>
    <row r="25" spans="1:5" x14ac:dyDescent="0.2">
      <c r="A25" s="35" t="s">
        <v>147</v>
      </c>
      <c r="B25" s="12">
        <f>IF('[1]Enter Samples Here'!R24="","",'[1]Enter Samples Here'!R24)</f>
        <v>500</v>
      </c>
      <c r="C25" s="12" t="str">
        <f>IF(ISNA(VLOOKUP('[1]Enter Samples Here'!$AS24,'[1]Index Plate Layout'!$AF$2:$AI$97,3,FALSE)),"",VLOOKUP('[1]Enter Samples Here'!$AS24,'[1]Index Plate Layout'!$AF$2:$AI$97,3,FALSE))</f>
        <v/>
      </c>
      <c r="D25" s="12" t="str">
        <f>IF(ISNA(VLOOKUP('[1]Enter Samples Here'!X24,'[1]Index Plate Layout'!$AF$2:$AI$97,4,FALSE)),"",VLOOKUP('[1]Enter Samples Here'!X24,'[1]Index Plate Layout'!$AF$2:$AI$97,4,FALSE))</f>
        <v/>
      </c>
      <c r="E25" s="12">
        <f>IF('[1]Enter Samples Here'!Q24="","",'[1]Enter Samples Here'!Q24)</f>
        <v>10</v>
      </c>
    </row>
    <row r="26" spans="1:5" x14ac:dyDescent="0.2">
      <c r="A26" s="35" t="s">
        <v>148</v>
      </c>
      <c r="B26" s="12">
        <f>IF('[1]Enter Samples Here'!R25="","",'[1]Enter Samples Here'!R25)</f>
        <v>500</v>
      </c>
      <c r="C26" s="12" t="str">
        <f>IF(ISNA(VLOOKUP('[1]Enter Samples Here'!$AS25,'[1]Index Plate Layout'!$AF$2:$AI$97,3,FALSE)),"",VLOOKUP('[1]Enter Samples Here'!$AS25,'[1]Index Plate Layout'!$AF$2:$AI$97,3,FALSE))</f>
        <v/>
      </c>
      <c r="D26" s="12" t="str">
        <f>IF(ISNA(VLOOKUP('[1]Enter Samples Here'!X25,'[1]Index Plate Layout'!$AF$2:$AI$97,4,FALSE)),"",VLOOKUP('[1]Enter Samples Here'!X25,'[1]Index Plate Layout'!$AF$2:$AI$97,4,FALSE))</f>
        <v/>
      </c>
      <c r="E26" s="12">
        <f>IF('[1]Enter Samples Here'!Q25="","",'[1]Enter Samples Here'!Q25)</f>
        <v>10</v>
      </c>
    </row>
    <row r="27" spans="1:5" x14ac:dyDescent="0.2">
      <c r="A27" s="35" t="s">
        <v>149</v>
      </c>
      <c r="B27" s="12">
        <f>IF('[1]Enter Samples Here'!R26="","",'[1]Enter Samples Here'!R26)</f>
        <v>500</v>
      </c>
      <c r="C27" s="12" t="str">
        <f>IF(ISNA(VLOOKUP('[1]Enter Samples Here'!$AS26,'[1]Index Plate Layout'!$AF$2:$AI$97,3,FALSE)),"",VLOOKUP('[1]Enter Samples Here'!$AS26,'[1]Index Plate Layout'!$AF$2:$AI$97,3,FALSE))</f>
        <v/>
      </c>
      <c r="D27" s="12" t="str">
        <f>IF(ISNA(VLOOKUP('[1]Enter Samples Here'!X26,'[1]Index Plate Layout'!$AF$2:$AI$97,4,FALSE)),"",VLOOKUP('[1]Enter Samples Here'!X26,'[1]Index Plate Layout'!$AF$2:$AI$97,4,FALSE))</f>
        <v/>
      </c>
      <c r="E27" s="12">
        <f>IF('[1]Enter Samples Here'!Q26="","",'[1]Enter Samples Here'!Q26)</f>
        <v>10</v>
      </c>
    </row>
    <row r="28" spans="1:5" x14ac:dyDescent="0.2">
      <c r="A28" s="35" t="s">
        <v>150</v>
      </c>
      <c r="B28" s="12">
        <f>IF('[1]Enter Samples Here'!R27="","",'[1]Enter Samples Here'!R27)</f>
        <v>500</v>
      </c>
      <c r="C28" s="12" t="str">
        <f>IF(ISNA(VLOOKUP('[1]Enter Samples Here'!$AS27,'[1]Index Plate Layout'!$AF$2:$AI$97,3,FALSE)),"",VLOOKUP('[1]Enter Samples Here'!$AS27,'[1]Index Plate Layout'!$AF$2:$AI$97,3,FALSE))</f>
        <v/>
      </c>
      <c r="D28" s="12" t="str">
        <f>IF(ISNA(VLOOKUP('[1]Enter Samples Here'!X27,'[1]Index Plate Layout'!$AF$2:$AI$97,4,FALSE)),"",VLOOKUP('[1]Enter Samples Here'!X27,'[1]Index Plate Layout'!$AF$2:$AI$97,4,FALSE))</f>
        <v/>
      </c>
      <c r="E28" s="12">
        <f>IF('[1]Enter Samples Here'!Q27="","",'[1]Enter Samples Here'!Q27)</f>
        <v>10</v>
      </c>
    </row>
    <row r="29" spans="1:5" x14ac:dyDescent="0.2">
      <c r="A29" s="35" t="s">
        <v>151</v>
      </c>
      <c r="B29" s="12">
        <f>IF('[1]Enter Samples Here'!R28="","",'[1]Enter Samples Here'!R28)</f>
        <v>500</v>
      </c>
      <c r="C29" s="12" t="str">
        <f>IF(ISNA(VLOOKUP('[1]Enter Samples Here'!$AS28,'[1]Index Plate Layout'!$AF$2:$AI$97,3,FALSE)),"",VLOOKUP('[1]Enter Samples Here'!$AS28,'[1]Index Plate Layout'!$AF$2:$AI$97,3,FALSE))</f>
        <v/>
      </c>
      <c r="D29" s="12" t="str">
        <f>IF(ISNA(VLOOKUP('[1]Enter Samples Here'!X28,'[1]Index Plate Layout'!$AF$2:$AI$97,4,FALSE)),"",VLOOKUP('[1]Enter Samples Here'!X28,'[1]Index Plate Layout'!$AF$2:$AI$97,4,FALSE))</f>
        <v/>
      </c>
      <c r="E29" s="12">
        <f>IF('[1]Enter Samples Here'!Q28="","",'[1]Enter Samples Here'!Q28)</f>
        <v>10</v>
      </c>
    </row>
    <row r="30" spans="1:5" x14ac:dyDescent="0.2">
      <c r="A30" s="35" t="s">
        <v>152</v>
      </c>
      <c r="B30" s="12">
        <f>IF('[1]Enter Samples Here'!R29="","",'[1]Enter Samples Here'!R29)</f>
        <v>500</v>
      </c>
      <c r="C30" s="12" t="str">
        <f>IF(ISNA(VLOOKUP('[1]Enter Samples Here'!$AS29,'[1]Index Plate Layout'!$AF$2:$AI$97,3,FALSE)),"",VLOOKUP('[1]Enter Samples Here'!$AS29,'[1]Index Plate Layout'!$AF$2:$AI$97,3,FALSE))</f>
        <v/>
      </c>
      <c r="D30" s="12" t="str">
        <f>IF(ISNA(VLOOKUP('[1]Enter Samples Here'!X29,'[1]Index Plate Layout'!$AF$2:$AI$97,4,FALSE)),"",VLOOKUP('[1]Enter Samples Here'!X29,'[1]Index Plate Layout'!$AF$2:$AI$97,4,FALSE))</f>
        <v/>
      </c>
      <c r="E30" s="12">
        <f>IF('[1]Enter Samples Here'!Q29="","",'[1]Enter Samples Here'!Q29)</f>
        <v>10</v>
      </c>
    </row>
    <row r="31" spans="1:5" x14ac:dyDescent="0.2">
      <c r="A31" s="35" t="s">
        <v>153</v>
      </c>
      <c r="B31" s="12">
        <f>IF('[1]Enter Samples Here'!R30="","",'[1]Enter Samples Here'!R30)</f>
        <v>500</v>
      </c>
      <c r="C31" s="12" t="str">
        <f>IF(ISNA(VLOOKUP('[1]Enter Samples Here'!$AS30,'[1]Index Plate Layout'!$AF$2:$AI$97,3,FALSE)),"",VLOOKUP('[1]Enter Samples Here'!$AS30,'[1]Index Plate Layout'!$AF$2:$AI$97,3,FALSE))</f>
        <v/>
      </c>
      <c r="D31" s="12" t="str">
        <f>IF(ISNA(VLOOKUP('[1]Enter Samples Here'!X30,'[1]Index Plate Layout'!$AF$2:$AI$97,4,FALSE)),"",VLOOKUP('[1]Enter Samples Here'!X30,'[1]Index Plate Layout'!$AF$2:$AI$97,4,FALSE))</f>
        <v/>
      </c>
      <c r="E31" s="12">
        <f>IF('[1]Enter Samples Here'!Q30="","",'[1]Enter Samples Here'!Q30)</f>
        <v>10</v>
      </c>
    </row>
    <row r="32" spans="1:5" x14ac:dyDescent="0.2">
      <c r="A32" s="35" t="s">
        <v>154</v>
      </c>
      <c r="B32" s="12">
        <f>IF('[1]Enter Samples Here'!R31="","",'[1]Enter Samples Here'!R31)</f>
        <v>500</v>
      </c>
      <c r="C32" s="12" t="str">
        <f>IF(ISNA(VLOOKUP('[1]Enter Samples Here'!$AS31,'[1]Index Plate Layout'!$AF$2:$AI$97,3,FALSE)),"",VLOOKUP('[1]Enter Samples Here'!$AS31,'[1]Index Plate Layout'!$AF$2:$AI$97,3,FALSE))</f>
        <v/>
      </c>
      <c r="D32" s="12" t="str">
        <f>IF(ISNA(VLOOKUP('[1]Enter Samples Here'!X31,'[1]Index Plate Layout'!$AF$2:$AI$97,4,FALSE)),"",VLOOKUP('[1]Enter Samples Here'!X31,'[1]Index Plate Layout'!$AF$2:$AI$97,4,FALSE))</f>
        <v/>
      </c>
      <c r="E32" s="12">
        <f>IF('[1]Enter Samples Here'!Q31="","",'[1]Enter Samples Here'!Q31)</f>
        <v>10</v>
      </c>
    </row>
    <row r="33" spans="1:5" x14ac:dyDescent="0.2">
      <c r="A33" s="35" t="s">
        <v>155</v>
      </c>
      <c r="B33" s="12">
        <f>IF('[1]Enter Samples Here'!R32="","",'[1]Enter Samples Here'!R32)</f>
        <v>500</v>
      </c>
      <c r="C33" s="12" t="str">
        <f>IF(ISNA(VLOOKUP('[1]Enter Samples Here'!$AS32,'[1]Index Plate Layout'!$AF$2:$AI$97,3,FALSE)),"",VLOOKUP('[1]Enter Samples Here'!$AS32,'[1]Index Plate Layout'!$AF$2:$AI$97,3,FALSE))</f>
        <v/>
      </c>
      <c r="D33" s="12" t="str">
        <f>IF(ISNA(VLOOKUP('[1]Enter Samples Here'!X32,'[1]Index Plate Layout'!$AF$2:$AI$97,4,FALSE)),"",VLOOKUP('[1]Enter Samples Here'!X32,'[1]Index Plate Layout'!$AF$2:$AI$97,4,FALSE))</f>
        <v/>
      </c>
      <c r="E33" s="12">
        <f>IF('[1]Enter Samples Here'!Q32="","",'[1]Enter Samples Here'!Q32)</f>
        <v>10</v>
      </c>
    </row>
    <row r="34" spans="1:5" x14ac:dyDescent="0.2">
      <c r="A34" s="35" t="s">
        <v>156</v>
      </c>
      <c r="B34" s="12">
        <f>IF('[1]Enter Samples Here'!R33="","",'[1]Enter Samples Here'!R33)</f>
        <v>500</v>
      </c>
      <c r="C34" s="12" t="str">
        <f>IF(ISNA(VLOOKUP('[1]Enter Samples Here'!$AS33,'[1]Index Plate Layout'!$AF$2:$AI$97,3,FALSE)),"",VLOOKUP('[1]Enter Samples Here'!$AS33,'[1]Index Plate Layout'!$AF$2:$AI$97,3,FALSE))</f>
        <v/>
      </c>
      <c r="D34" s="12" t="str">
        <f>IF(ISNA(VLOOKUP('[1]Enter Samples Here'!X33,'[1]Index Plate Layout'!$AF$2:$AI$97,4,FALSE)),"",VLOOKUP('[1]Enter Samples Here'!X33,'[1]Index Plate Layout'!$AF$2:$AI$97,4,FALSE))</f>
        <v/>
      </c>
      <c r="E34" s="12">
        <f>IF('[1]Enter Samples Here'!Q33="","",'[1]Enter Samples Here'!Q33)</f>
        <v>10</v>
      </c>
    </row>
    <row r="35" spans="1:5" x14ac:dyDescent="0.2">
      <c r="A35" s="35" t="s">
        <v>157</v>
      </c>
      <c r="B35" s="12">
        <f>IF('[1]Enter Samples Here'!R34="","",'[1]Enter Samples Here'!R34)</f>
        <v>500</v>
      </c>
      <c r="C35" s="12" t="str">
        <f>IF(ISNA(VLOOKUP('[1]Enter Samples Here'!$AS34,'[1]Index Plate Layout'!$AF$2:$AI$97,3,FALSE)),"",VLOOKUP('[1]Enter Samples Here'!$AS34,'[1]Index Plate Layout'!$AF$2:$AI$97,3,FALSE))</f>
        <v/>
      </c>
      <c r="D35" s="12" t="str">
        <f>IF(ISNA(VLOOKUP('[1]Enter Samples Here'!X34,'[1]Index Plate Layout'!$AF$2:$AI$97,4,FALSE)),"",VLOOKUP('[1]Enter Samples Here'!X34,'[1]Index Plate Layout'!$AF$2:$AI$97,4,FALSE))</f>
        <v/>
      </c>
      <c r="E35" s="12">
        <f>IF('[1]Enter Samples Here'!Q34="","",'[1]Enter Samples Here'!Q34)</f>
        <v>10</v>
      </c>
    </row>
    <row r="36" spans="1:5" x14ac:dyDescent="0.2">
      <c r="A36" s="35" t="s">
        <v>158</v>
      </c>
      <c r="B36" s="12">
        <f>IF('[1]Enter Samples Here'!R35="","",'[1]Enter Samples Here'!R35)</f>
        <v>500</v>
      </c>
      <c r="C36" s="12" t="str">
        <f>IF(ISNA(VLOOKUP('[1]Enter Samples Here'!$AS35,'[1]Index Plate Layout'!$AF$2:$AI$97,3,FALSE)),"",VLOOKUP('[1]Enter Samples Here'!$AS35,'[1]Index Plate Layout'!$AF$2:$AI$97,3,FALSE))</f>
        <v/>
      </c>
      <c r="D36" s="12" t="str">
        <f>IF(ISNA(VLOOKUP('[1]Enter Samples Here'!X35,'[1]Index Plate Layout'!$AF$2:$AI$97,4,FALSE)),"",VLOOKUP('[1]Enter Samples Here'!X35,'[1]Index Plate Layout'!$AF$2:$AI$97,4,FALSE))</f>
        <v/>
      </c>
      <c r="E36" s="12">
        <f>IF('[1]Enter Samples Here'!Q35="","",'[1]Enter Samples Here'!Q35)</f>
        <v>10</v>
      </c>
    </row>
    <row r="37" spans="1:5" x14ac:dyDescent="0.2">
      <c r="A37" s="35" t="s">
        <v>159</v>
      </c>
      <c r="B37" s="12">
        <f>IF('[1]Enter Samples Here'!R36="","",'[1]Enter Samples Here'!R36)</f>
        <v>500</v>
      </c>
      <c r="C37" s="12" t="str">
        <f>IF(ISNA(VLOOKUP('[1]Enter Samples Here'!$AS36,'[1]Index Plate Layout'!$AF$2:$AI$97,3,FALSE)),"",VLOOKUP('[1]Enter Samples Here'!$AS36,'[1]Index Plate Layout'!$AF$2:$AI$97,3,FALSE))</f>
        <v/>
      </c>
      <c r="D37" s="12" t="str">
        <f>IF(ISNA(VLOOKUP('[1]Enter Samples Here'!X36,'[1]Index Plate Layout'!$AF$2:$AI$97,4,FALSE)),"",VLOOKUP('[1]Enter Samples Here'!X36,'[1]Index Plate Layout'!$AF$2:$AI$97,4,FALSE))</f>
        <v/>
      </c>
      <c r="E37" s="12">
        <f>IF('[1]Enter Samples Here'!Q36="","",'[1]Enter Samples Here'!Q36)</f>
        <v>10</v>
      </c>
    </row>
    <row r="38" spans="1:5" x14ac:dyDescent="0.2">
      <c r="A38" s="35" t="s">
        <v>160</v>
      </c>
      <c r="B38" s="12">
        <f>IF('[1]Enter Samples Here'!R37="","",'[1]Enter Samples Here'!R37)</f>
        <v>500</v>
      </c>
      <c r="C38" s="12" t="str">
        <f>IF(ISNA(VLOOKUP('[1]Enter Samples Here'!$AS37,'[1]Index Plate Layout'!$AF$2:$AI$97,3,FALSE)),"",VLOOKUP('[1]Enter Samples Here'!$AS37,'[1]Index Plate Layout'!$AF$2:$AI$97,3,FALSE))</f>
        <v/>
      </c>
      <c r="D38" s="12" t="str">
        <f>IF(ISNA(VLOOKUP('[1]Enter Samples Here'!X37,'[1]Index Plate Layout'!$AF$2:$AI$97,4,FALSE)),"",VLOOKUP('[1]Enter Samples Here'!X37,'[1]Index Plate Layout'!$AF$2:$AI$97,4,FALSE))</f>
        <v/>
      </c>
      <c r="E38" s="12">
        <f>IF('[1]Enter Samples Here'!Q37="","",'[1]Enter Samples Here'!Q37)</f>
        <v>10</v>
      </c>
    </row>
    <row r="39" spans="1:5" x14ac:dyDescent="0.2">
      <c r="A39" s="35" t="s">
        <v>161</v>
      </c>
      <c r="B39" s="12">
        <f>IF('[1]Enter Samples Here'!R38="","",'[1]Enter Samples Here'!R38)</f>
        <v>500</v>
      </c>
      <c r="C39" s="12" t="str">
        <f>IF(ISNA(VLOOKUP('[1]Enter Samples Here'!$AS38,'[1]Index Plate Layout'!$AF$2:$AI$97,3,FALSE)),"",VLOOKUP('[1]Enter Samples Here'!$AS38,'[1]Index Plate Layout'!$AF$2:$AI$97,3,FALSE))</f>
        <v/>
      </c>
      <c r="D39" s="12" t="str">
        <f>IF(ISNA(VLOOKUP('[1]Enter Samples Here'!X38,'[1]Index Plate Layout'!$AF$2:$AI$97,4,FALSE)),"",VLOOKUP('[1]Enter Samples Here'!X38,'[1]Index Plate Layout'!$AF$2:$AI$97,4,FALSE))</f>
        <v/>
      </c>
      <c r="E39" s="12">
        <f>IF('[1]Enter Samples Here'!Q38="","",'[1]Enter Samples Here'!Q38)</f>
        <v>10</v>
      </c>
    </row>
    <row r="40" spans="1:5" x14ac:dyDescent="0.2">
      <c r="A40" s="35" t="s">
        <v>162</v>
      </c>
      <c r="B40" s="12">
        <f>IF('[1]Enter Samples Here'!R39="","",'[1]Enter Samples Here'!R39)</f>
        <v>500</v>
      </c>
      <c r="C40" s="12" t="str">
        <f>IF(ISNA(VLOOKUP('[1]Enter Samples Here'!$AS39,'[1]Index Plate Layout'!$AF$2:$AI$97,3,FALSE)),"",VLOOKUP('[1]Enter Samples Here'!$AS39,'[1]Index Plate Layout'!$AF$2:$AI$97,3,FALSE))</f>
        <v/>
      </c>
      <c r="D40" s="12" t="str">
        <f>IF(ISNA(VLOOKUP('[1]Enter Samples Here'!X39,'[1]Index Plate Layout'!$AF$2:$AI$97,4,FALSE)),"",VLOOKUP('[1]Enter Samples Here'!X39,'[1]Index Plate Layout'!$AF$2:$AI$97,4,FALSE))</f>
        <v/>
      </c>
      <c r="E40" s="12">
        <f>IF('[1]Enter Samples Here'!Q39="","",'[1]Enter Samples Here'!Q39)</f>
        <v>10</v>
      </c>
    </row>
    <row r="41" spans="1:5" x14ac:dyDescent="0.2">
      <c r="A41" s="35" t="s">
        <v>163</v>
      </c>
      <c r="B41" s="12">
        <f>IF('[1]Enter Samples Here'!R40="","",'[1]Enter Samples Here'!R40)</f>
        <v>500</v>
      </c>
      <c r="C41" s="12" t="str">
        <f>IF(ISNA(VLOOKUP('[1]Enter Samples Here'!$AS40,'[1]Index Plate Layout'!$AF$2:$AI$97,3,FALSE)),"",VLOOKUP('[1]Enter Samples Here'!$AS40,'[1]Index Plate Layout'!$AF$2:$AI$97,3,FALSE))</f>
        <v/>
      </c>
      <c r="D41" s="12" t="str">
        <f>IF(ISNA(VLOOKUP('[1]Enter Samples Here'!X40,'[1]Index Plate Layout'!$AF$2:$AI$97,4,FALSE)),"",VLOOKUP('[1]Enter Samples Here'!X40,'[1]Index Plate Layout'!$AF$2:$AI$97,4,FALSE))</f>
        <v/>
      </c>
      <c r="E41" s="12">
        <f>IF('[1]Enter Samples Here'!Q40="","",'[1]Enter Samples Here'!Q40)</f>
        <v>10</v>
      </c>
    </row>
    <row r="42" spans="1:5" x14ac:dyDescent="0.2">
      <c r="A42" s="35" t="s">
        <v>164</v>
      </c>
      <c r="B42" s="12">
        <f>IF('[1]Enter Samples Here'!R41="","",'[1]Enter Samples Here'!R41)</f>
        <v>500</v>
      </c>
      <c r="C42" s="12" t="str">
        <f>IF(ISNA(VLOOKUP('[1]Enter Samples Here'!$AS41,'[1]Index Plate Layout'!$AF$2:$AI$97,3,FALSE)),"",VLOOKUP('[1]Enter Samples Here'!$AS41,'[1]Index Plate Layout'!$AF$2:$AI$97,3,FALSE))</f>
        <v/>
      </c>
      <c r="D42" s="12" t="str">
        <f>IF(ISNA(VLOOKUP('[1]Enter Samples Here'!X41,'[1]Index Plate Layout'!$AF$2:$AI$97,4,FALSE)),"",VLOOKUP('[1]Enter Samples Here'!X41,'[1]Index Plate Layout'!$AF$2:$AI$97,4,FALSE))</f>
        <v/>
      </c>
      <c r="E42" s="12">
        <f>IF('[1]Enter Samples Here'!Q41="","",'[1]Enter Samples Here'!Q41)</f>
        <v>10</v>
      </c>
    </row>
    <row r="43" spans="1:5" x14ac:dyDescent="0.2">
      <c r="A43" s="35" t="s">
        <v>165</v>
      </c>
      <c r="B43" s="12">
        <f>IF('[1]Enter Samples Here'!R42="","",'[1]Enter Samples Here'!R42)</f>
        <v>500</v>
      </c>
      <c r="C43" s="12" t="str">
        <f>IF(ISNA(VLOOKUP('[1]Enter Samples Here'!$AS42,'[1]Index Plate Layout'!$AF$2:$AI$97,3,FALSE)),"",VLOOKUP('[1]Enter Samples Here'!$AS42,'[1]Index Plate Layout'!$AF$2:$AI$97,3,FALSE))</f>
        <v/>
      </c>
      <c r="D43" s="12" t="str">
        <f>IF(ISNA(VLOOKUP('[1]Enter Samples Here'!X42,'[1]Index Plate Layout'!$AF$2:$AI$97,4,FALSE)),"",VLOOKUP('[1]Enter Samples Here'!X42,'[1]Index Plate Layout'!$AF$2:$AI$97,4,FALSE))</f>
        <v/>
      </c>
      <c r="E43" s="12">
        <f>IF('[1]Enter Samples Here'!Q42="","",'[1]Enter Samples Here'!Q42)</f>
        <v>10</v>
      </c>
    </row>
    <row r="44" spans="1:5" x14ac:dyDescent="0.2">
      <c r="A44" s="35" t="s">
        <v>166</v>
      </c>
      <c r="B44" s="12">
        <f>IF('[1]Enter Samples Here'!R43="","",'[1]Enter Samples Here'!R43)</f>
        <v>500</v>
      </c>
      <c r="C44" s="12" t="str">
        <f>IF(ISNA(VLOOKUP('[1]Enter Samples Here'!$AS43,'[1]Index Plate Layout'!$AF$2:$AI$97,3,FALSE)),"",VLOOKUP('[1]Enter Samples Here'!$AS43,'[1]Index Plate Layout'!$AF$2:$AI$97,3,FALSE))</f>
        <v/>
      </c>
      <c r="D44" s="12" t="str">
        <f>IF(ISNA(VLOOKUP('[1]Enter Samples Here'!X43,'[1]Index Plate Layout'!$AF$2:$AI$97,4,FALSE)),"",VLOOKUP('[1]Enter Samples Here'!X43,'[1]Index Plate Layout'!$AF$2:$AI$97,4,FALSE))</f>
        <v/>
      </c>
      <c r="E44" s="12">
        <f>IF('[1]Enter Samples Here'!Q43="","",'[1]Enter Samples Here'!Q43)</f>
        <v>10</v>
      </c>
    </row>
    <row r="45" spans="1:5" x14ac:dyDescent="0.2">
      <c r="A45" s="35" t="s">
        <v>167</v>
      </c>
      <c r="B45" s="12">
        <f>IF('[1]Enter Samples Here'!R44="","",'[1]Enter Samples Here'!R44)</f>
        <v>500</v>
      </c>
      <c r="C45" s="12" t="str">
        <f>IF(ISNA(VLOOKUP('[1]Enter Samples Here'!$AS44,'[1]Index Plate Layout'!$AF$2:$AI$97,3,FALSE)),"",VLOOKUP('[1]Enter Samples Here'!$AS44,'[1]Index Plate Layout'!$AF$2:$AI$97,3,FALSE))</f>
        <v/>
      </c>
      <c r="D45" s="12" t="str">
        <f>IF(ISNA(VLOOKUP('[1]Enter Samples Here'!X44,'[1]Index Plate Layout'!$AF$2:$AI$97,4,FALSE)),"",VLOOKUP('[1]Enter Samples Here'!X44,'[1]Index Plate Layout'!$AF$2:$AI$97,4,FALSE))</f>
        <v/>
      </c>
      <c r="E45" s="12">
        <f>IF('[1]Enter Samples Here'!Q44="","",'[1]Enter Samples Here'!Q44)</f>
        <v>10</v>
      </c>
    </row>
    <row r="46" spans="1:5" x14ac:dyDescent="0.2">
      <c r="A46" s="35" t="s">
        <v>168</v>
      </c>
      <c r="B46" s="12">
        <f>IF('[1]Enter Samples Here'!R45="","",'[1]Enter Samples Here'!R45)</f>
        <v>500</v>
      </c>
      <c r="C46" s="12" t="str">
        <f>IF(ISNA(VLOOKUP('[1]Enter Samples Here'!$AS45,'[1]Index Plate Layout'!$AF$2:$AI$97,3,FALSE)),"",VLOOKUP('[1]Enter Samples Here'!$AS45,'[1]Index Plate Layout'!$AF$2:$AI$97,3,FALSE))</f>
        <v/>
      </c>
      <c r="D46" s="12" t="str">
        <f>IF(ISNA(VLOOKUP('[1]Enter Samples Here'!X45,'[1]Index Plate Layout'!$AF$2:$AI$97,4,FALSE)),"",VLOOKUP('[1]Enter Samples Here'!X45,'[1]Index Plate Layout'!$AF$2:$AI$97,4,FALSE))</f>
        <v/>
      </c>
      <c r="E46" s="12">
        <f>IF('[1]Enter Samples Here'!Q45="","",'[1]Enter Samples Here'!Q45)</f>
        <v>10</v>
      </c>
    </row>
    <row r="47" spans="1:5" x14ac:dyDescent="0.2">
      <c r="A47" s="35" t="s">
        <v>169</v>
      </c>
      <c r="B47" s="12">
        <f>IF('[1]Enter Samples Here'!R46="","",'[1]Enter Samples Here'!R46)</f>
        <v>500</v>
      </c>
      <c r="C47" s="12" t="str">
        <f>IF(ISNA(VLOOKUP('[1]Enter Samples Here'!$AS46,'[1]Index Plate Layout'!$AF$2:$AI$97,3,FALSE)),"",VLOOKUP('[1]Enter Samples Here'!$AS46,'[1]Index Plate Layout'!$AF$2:$AI$97,3,FALSE))</f>
        <v/>
      </c>
      <c r="D47" s="12" t="str">
        <f>IF(ISNA(VLOOKUP('[1]Enter Samples Here'!X46,'[1]Index Plate Layout'!$AF$2:$AI$97,4,FALSE)),"",VLOOKUP('[1]Enter Samples Here'!X46,'[1]Index Plate Layout'!$AF$2:$AI$97,4,FALSE))</f>
        <v/>
      </c>
      <c r="E47" s="12">
        <f>IF('[1]Enter Samples Here'!Q46="","",'[1]Enter Samples Here'!Q46)</f>
        <v>10</v>
      </c>
    </row>
    <row r="48" spans="1:5" x14ac:dyDescent="0.2">
      <c r="A48" s="35" t="s">
        <v>170</v>
      </c>
      <c r="B48" s="12">
        <f>IF('[1]Enter Samples Here'!R47="","",'[1]Enter Samples Here'!R47)</f>
        <v>500</v>
      </c>
      <c r="C48" s="12" t="str">
        <f>IF(ISNA(VLOOKUP('[1]Enter Samples Here'!$AS47,'[1]Index Plate Layout'!$AF$2:$AI$97,3,FALSE)),"",VLOOKUP('[1]Enter Samples Here'!$AS47,'[1]Index Plate Layout'!$AF$2:$AI$97,3,FALSE))</f>
        <v/>
      </c>
      <c r="D48" s="12" t="str">
        <f>IF(ISNA(VLOOKUP('[1]Enter Samples Here'!X47,'[1]Index Plate Layout'!$AF$2:$AI$97,4,FALSE)),"",VLOOKUP('[1]Enter Samples Here'!X47,'[1]Index Plate Layout'!$AF$2:$AI$97,4,FALSE))</f>
        <v/>
      </c>
      <c r="E48" s="12">
        <f>IF('[1]Enter Samples Here'!Q47="","",'[1]Enter Samples Here'!Q47)</f>
        <v>10</v>
      </c>
    </row>
    <row r="49" spans="1:5" x14ac:dyDescent="0.2">
      <c r="A49" s="35" t="s">
        <v>171</v>
      </c>
      <c r="B49" s="12">
        <f>IF('[1]Enter Samples Here'!R48="","",'[1]Enter Samples Here'!R48)</f>
        <v>500</v>
      </c>
      <c r="C49" s="12" t="str">
        <f>IF(ISNA(VLOOKUP('[1]Enter Samples Here'!$AS48,'[1]Index Plate Layout'!$AF$2:$AI$97,3,FALSE)),"",VLOOKUP('[1]Enter Samples Here'!$AS48,'[1]Index Plate Layout'!$AF$2:$AI$97,3,FALSE))</f>
        <v/>
      </c>
      <c r="D49" s="12" t="str">
        <f>IF(ISNA(VLOOKUP('[1]Enter Samples Here'!X48,'[1]Index Plate Layout'!$AF$2:$AI$97,4,FALSE)),"",VLOOKUP('[1]Enter Samples Here'!X48,'[1]Index Plate Layout'!$AF$2:$AI$97,4,FALSE))</f>
        <v/>
      </c>
      <c r="E49" s="12">
        <f>IF('[1]Enter Samples Here'!Q48="","",'[1]Enter Samples Here'!Q48)</f>
        <v>10</v>
      </c>
    </row>
    <row r="50" spans="1:5" x14ac:dyDescent="0.2">
      <c r="A50" s="35" t="s">
        <v>172</v>
      </c>
      <c r="B50" s="12">
        <f>IF('[1]Enter Samples Here'!R49="","",'[1]Enter Samples Here'!R49)</f>
        <v>500</v>
      </c>
      <c r="C50" s="12" t="str">
        <f>IF(ISNA(VLOOKUP('[1]Enter Samples Here'!$AS49,'[1]Index Plate Layout'!$AF$2:$AI$97,3,FALSE)),"",VLOOKUP('[1]Enter Samples Here'!$AS49,'[1]Index Plate Layout'!$AF$2:$AI$97,3,FALSE))</f>
        <v/>
      </c>
      <c r="D50" s="12" t="str">
        <f>IF(ISNA(VLOOKUP('[1]Enter Samples Here'!X49,'[1]Index Plate Layout'!$AF$2:$AI$97,4,FALSE)),"",VLOOKUP('[1]Enter Samples Here'!X49,'[1]Index Plate Layout'!$AF$2:$AI$97,4,FALSE))</f>
        <v/>
      </c>
      <c r="E50" s="12">
        <f>IF('[1]Enter Samples Here'!Q49="","",'[1]Enter Samples Here'!Q49)</f>
        <v>10</v>
      </c>
    </row>
    <row r="51" spans="1:5" x14ac:dyDescent="0.2">
      <c r="A51" s="35" t="s">
        <v>173</v>
      </c>
      <c r="B51" s="12">
        <f>IF('[1]Enter Samples Here'!R50="","",'[1]Enter Samples Here'!R50)</f>
        <v>500</v>
      </c>
      <c r="C51" s="12" t="str">
        <f>IF(ISNA(VLOOKUP('[1]Enter Samples Here'!$AS50,'[1]Index Plate Layout'!$AF$2:$AI$97,3,FALSE)),"",VLOOKUP('[1]Enter Samples Here'!$AS50,'[1]Index Plate Layout'!$AF$2:$AI$97,3,FALSE))</f>
        <v/>
      </c>
      <c r="D51" s="12" t="str">
        <f>IF(ISNA(VLOOKUP('[1]Enter Samples Here'!X50,'[1]Index Plate Layout'!$AF$2:$AI$97,4,FALSE)),"",VLOOKUP('[1]Enter Samples Here'!X50,'[1]Index Plate Layout'!$AF$2:$AI$97,4,FALSE))</f>
        <v/>
      </c>
      <c r="E51" s="12">
        <f>IF('[1]Enter Samples Here'!Q50="","",'[1]Enter Samples Here'!Q50)</f>
        <v>10</v>
      </c>
    </row>
    <row r="52" spans="1:5" x14ac:dyDescent="0.2">
      <c r="A52" s="35" t="s">
        <v>174</v>
      </c>
      <c r="B52" s="12">
        <f>IF('[1]Enter Samples Here'!R51="","",'[1]Enter Samples Here'!R51)</f>
        <v>500</v>
      </c>
      <c r="C52" s="12" t="str">
        <f>IF(ISNA(VLOOKUP('[1]Enter Samples Here'!$AS51,'[1]Index Plate Layout'!$AF$2:$AI$97,3,FALSE)),"",VLOOKUP('[1]Enter Samples Here'!$AS51,'[1]Index Plate Layout'!$AF$2:$AI$97,3,FALSE))</f>
        <v/>
      </c>
      <c r="D52" s="12" t="str">
        <f>IF(ISNA(VLOOKUP('[1]Enter Samples Here'!X51,'[1]Index Plate Layout'!$AF$2:$AI$97,4,FALSE)),"",VLOOKUP('[1]Enter Samples Here'!X51,'[1]Index Plate Layout'!$AF$2:$AI$97,4,FALSE))</f>
        <v/>
      </c>
      <c r="E52" s="12">
        <f>IF('[1]Enter Samples Here'!Q51="","",'[1]Enter Samples Here'!Q51)</f>
        <v>10</v>
      </c>
    </row>
    <row r="53" spans="1:5" x14ac:dyDescent="0.2">
      <c r="A53" s="35" t="s">
        <v>175</v>
      </c>
      <c r="B53" s="12">
        <f>IF('[1]Enter Samples Here'!R52="","",'[1]Enter Samples Here'!R52)</f>
        <v>500</v>
      </c>
      <c r="C53" s="12" t="str">
        <f>IF(ISNA(VLOOKUP('[1]Enter Samples Here'!$AS52,'[1]Index Plate Layout'!$AF$2:$AI$97,3,FALSE)),"",VLOOKUP('[1]Enter Samples Here'!$AS52,'[1]Index Plate Layout'!$AF$2:$AI$97,3,FALSE))</f>
        <v/>
      </c>
      <c r="D53" s="12" t="str">
        <f>IF(ISNA(VLOOKUP('[1]Enter Samples Here'!X52,'[1]Index Plate Layout'!$AF$2:$AI$97,4,FALSE)),"",VLOOKUP('[1]Enter Samples Here'!X52,'[1]Index Plate Layout'!$AF$2:$AI$97,4,FALSE))</f>
        <v/>
      </c>
      <c r="E53" s="12">
        <f>IF('[1]Enter Samples Here'!Q52="","",'[1]Enter Samples Here'!Q52)</f>
        <v>10</v>
      </c>
    </row>
    <row r="54" spans="1:5" x14ac:dyDescent="0.2">
      <c r="A54" s="35" t="s">
        <v>176</v>
      </c>
      <c r="B54" s="12">
        <f>IF('[1]Enter Samples Here'!R53="","",'[1]Enter Samples Here'!R53)</f>
        <v>500</v>
      </c>
      <c r="C54" s="12" t="str">
        <f>IF(ISNA(VLOOKUP('[1]Enter Samples Here'!$AS53,'[1]Index Plate Layout'!$AF$2:$AI$97,3,FALSE)),"",VLOOKUP('[1]Enter Samples Here'!$AS53,'[1]Index Plate Layout'!$AF$2:$AI$97,3,FALSE))</f>
        <v/>
      </c>
      <c r="D54" s="12" t="str">
        <f>IF(ISNA(VLOOKUP('[1]Enter Samples Here'!X53,'[1]Index Plate Layout'!$AF$2:$AI$97,4,FALSE)),"",VLOOKUP('[1]Enter Samples Here'!X53,'[1]Index Plate Layout'!$AF$2:$AI$97,4,FALSE))</f>
        <v/>
      </c>
      <c r="E54" s="12">
        <f>IF('[1]Enter Samples Here'!Q53="","",'[1]Enter Samples Here'!Q53)</f>
        <v>10</v>
      </c>
    </row>
    <row r="55" spans="1:5" x14ac:dyDescent="0.2">
      <c r="A55" s="35" t="s">
        <v>177</v>
      </c>
      <c r="B55" s="12">
        <f>IF('[1]Enter Samples Here'!R54="","",'[1]Enter Samples Here'!R54)</f>
        <v>500</v>
      </c>
      <c r="C55" s="12" t="str">
        <f>IF(ISNA(VLOOKUP('[1]Enter Samples Here'!$AS54,'[1]Index Plate Layout'!$AF$2:$AI$97,3,FALSE)),"",VLOOKUP('[1]Enter Samples Here'!$AS54,'[1]Index Plate Layout'!$AF$2:$AI$97,3,FALSE))</f>
        <v/>
      </c>
      <c r="D55" s="12" t="str">
        <f>IF(ISNA(VLOOKUP('[1]Enter Samples Here'!X54,'[1]Index Plate Layout'!$AF$2:$AI$97,4,FALSE)),"",VLOOKUP('[1]Enter Samples Here'!X54,'[1]Index Plate Layout'!$AF$2:$AI$97,4,FALSE))</f>
        <v/>
      </c>
      <c r="E55" s="12">
        <f>IF('[1]Enter Samples Here'!Q54="","",'[1]Enter Samples Here'!Q54)</f>
        <v>10</v>
      </c>
    </row>
    <row r="56" spans="1:5" x14ac:dyDescent="0.2">
      <c r="A56" s="35" t="s">
        <v>178</v>
      </c>
      <c r="B56" s="12">
        <f>IF('[1]Enter Samples Here'!R55="","",'[1]Enter Samples Here'!R55)</f>
        <v>500</v>
      </c>
      <c r="C56" s="12" t="str">
        <f>IF(ISNA(VLOOKUP('[1]Enter Samples Here'!$AS55,'[1]Index Plate Layout'!$AF$2:$AI$97,3,FALSE)),"",VLOOKUP('[1]Enter Samples Here'!$AS55,'[1]Index Plate Layout'!$AF$2:$AI$97,3,FALSE))</f>
        <v/>
      </c>
      <c r="D56" s="12" t="str">
        <f>IF(ISNA(VLOOKUP('[1]Enter Samples Here'!X55,'[1]Index Plate Layout'!$AF$2:$AI$97,4,FALSE)),"",VLOOKUP('[1]Enter Samples Here'!X55,'[1]Index Plate Layout'!$AF$2:$AI$97,4,FALSE))</f>
        <v/>
      </c>
      <c r="E56" s="12">
        <f>IF('[1]Enter Samples Here'!Q55="","",'[1]Enter Samples Here'!Q55)</f>
        <v>10</v>
      </c>
    </row>
    <row r="57" spans="1:5" x14ac:dyDescent="0.2">
      <c r="A57" s="35" t="s">
        <v>179</v>
      </c>
      <c r="B57" s="12">
        <f>IF('[1]Enter Samples Here'!R56="","",'[1]Enter Samples Here'!R56)</f>
        <v>500</v>
      </c>
      <c r="C57" s="12" t="str">
        <f>IF(ISNA(VLOOKUP('[1]Enter Samples Here'!$AS56,'[1]Index Plate Layout'!$AF$2:$AI$97,3,FALSE)),"",VLOOKUP('[1]Enter Samples Here'!$AS56,'[1]Index Plate Layout'!$AF$2:$AI$97,3,FALSE))</f>
        <v/>
      </c>
      <c r="D57" s="12" t="str">
        <f>IF(ISNA(VLOOKUP('[1]Enter Samples Here'!X56,'[1]Index Plate Layout'!$AF$2:$AI$97,4,FALSE)),"",VLOOKUP('[1]Enter Samples Here'!X56,'[1]Index Plate Layout'!$AF$2:$AI$97,4,FALSE))</f>
        <v/>
      </c>
      <c r="E57" s="12">
        <f>IF('[1]Enter Samples Here'!Q56="","",'[1]Enter Samples Here'!Q56)</f>
        <v>10</v>
      </c>
    </row>
    <row r="58" spans="1:5" x14ac:dyDescent="0.2">
      <c r="A58" s="35" t="s">
        <v>180</v>
      </c>
      <c r="B58" s="12">
        <f>IF('[1]Enter Samples Here'!R57="","",'[1]Enter Samples Here'!R57)</f>
        <v>500</v>
      </c>
      <c r="C58" s="12" t="str">
        <f>IF(ISNA(VLOOKUP('[1]Enter Samples Here'!$AS57,'[1]Index Plate Layout'!$AF$2:$AI$97,3,FALSE)),"",VLOOKUP('[1]Enter Samples Here'!$AS57,'[1]Index Plate Layout'!$AF$2:$AI$97,3,FALSE))</f>
        <v/>
      </c>
      <c r="D58" s="12" t="str">
        <f>IF(ISNA(VLOOKUP('[1]Enter Samples Here'!X57,'[1]Index Plate Layout'!$AF$2:$AI$97,4,FALSE)),"",VLOOKUP('[1]Enter Samples Here'!X57,'[1]Index Plate Layout'!$AF$2:$AI$97,4,FALSE))</f>
        <v/>
      </c>
      <c r="E58" s="12">
        <f>IF('[1]Enter Samples Here'!Q57="","",'[1]Enter Samples Here'!Q57)</f>
        <v>10</v>
      </c>
    </row>
    <row r="59" spans="1:5" x14ac:dyDescent="0.2">
      <c r="A59" s="35" t="s">
        <v>181</v>
      </c>
      <c r="B59" s="12">
        <f>IF('[1]Enter Samples Here'!R58="","",'[1]Enter Samples Here'!R58)</f>
        <v>500</v>
      </c>
      <c r="C59" s="12" t="str">
        <f>IF(ISNA(VLOOKUP('[1]Enter Samples Here'!$AS58,'[1]Index Plate Layout'!$AF$2:$AI$97,3,FALSE)),"",VLOOKUP('[1]Enter Samples Here'!$AS58,'[1]Index Plate Layout'!$AF$2:$AI$97,3,FALSE))</f>
        <v/>
      </c>
      <c r="D59" s="12" t="str">
        <f>IF(ISNA(VLOOKUP('[1]Enter Samples Here'!X58,'[1]Index Plate Layout'!$AF$2:$AI$97,4,FALSE)),"",VLOOKUP('[1]Enter Samples Here'!X58,'[1]Index Plate Layout'!$AF$2:$AI$97,4,FALSE))</f>
        <v/>
      </c>
      <c r="E59" s="12">
        <f>IF('[1]Enter Samples Here'!Q58="","",'[1]Enter Samples Here'!Q58)</f>
        <v>10</v>
      </c>
    </row>
    <row r="60" spans="1:5" x14ac:dyDescent="0.2">
      <c r="A60" s="35" t="s">
        <v>182</v>
      </c>
      <c r="B60" s="12">
        <f>IF('[1]Enter Samples Here'!R59="","",'[1]Enter Samples Here'!R59)</f>
        <v>500</v>
      </c>
      <c r="C60" s="12" t="str">
        <f>IF(ISNA(VLOOKUP('[1]Enter Samples Here'!$AS59,'[1]Index Plate Layout'!$AF$2:$AI$97,3,FALSE)),"",VLOOKUP('[1]Enter Samples Here'!$AS59,'[1]Index Plate Layout'!$AF$2:$AI$97,3,FALSE))</f>
        <v/>
      </c>
      <c r="D60" s="12" t="str">
        <f>IF(ISNA(VLOOKUP('[1]Enter Samples Here'!X59,'[1]Index Plate Layout'!$AF$2:$AI$97,4,FALSE)),"",VLOOKUP('[1]Enter Samples Here'!X59,'[1]Index Plate Layout'!$AF$2:$AI$97,4,FALSE))</f>
        <v/>
      </c>
      <c r="E60" s="12">
        <f>IF('[1]Enter Samples Here'!Q59="","",'[1]Enter Samples Here'!Q59)</f>
        <v>10</v>
      </c>
    </row>
    <row r="61" spans="1:5" x14ac:dyDescent="0.2">
      <c r="A61" s="35" t="s">
        <v>183</v>
      </c>
      <c r="B61" s="12">
        <f>IF('[1]Enter Samples Here'!R60="","",'[1]Enter Samples Here'!R60)</f>
        <v>500</v>
      </c>
      <c r="C61" s="12" t="str">
        <f>IF(ISNA(VLOOKUP('[1]Enter Samples Here'!$AS60,'[1]Index Plate Layout'!$AF$2:$AI$97,3,FALSE)),"",VLOOKUP('[1]Enter Samples Here'!$AS60,'[1]Index Plate Layout'!$AF$2:$AI$97,3,FALSE))</f>
        <v/>
      </c>
      <c r="D61" s="12" t="str">
        <f>IF(ISNA(VLOOKUP('[1]Enter Samples Here'!X60,'[1]Index Plate Layout'!$AF$2:$AI$97,4,FALSE)),"",VLOOKUP('[1]Enter Samples Here'!X60,'[1]Index Plate Layout'!$AF$2:$AI$97,4,FALSE))</f>
        <v/>
      </c>
      <c r="E61" s="12">
        <f>IF('[1]Enter Samples Here'!Q60="","",'[1]Enter Samples Here'!Q60)</f>
        <v>10</v>
      </c>
    </row>
    <row r="62" spans="1:5" x14ac:dyDescent="0.2">
      <c r="A62" s="35" t="s">
        <v>184</v>
      </c>
      <c r="B62" s="12">
        <f>IF('[1]Enter Samples Here'!R61="","",'[1]Enter Samples Here'!R61)</f>
        <v>500</v>
      </c>
      <c r="C62" s="12" t="str">
        <f>IF(ISNA(VLOOKUP('[1]Enter Samples Here'!$AS61,'[1]Index Plate Layout'!$AF$2:$AI$97,3,FALSE)),"",VLOOKUP('[1]Enter Samples Here'!$AS61,'[1]Index Plate Layout'!$AF$2:$AI$97,3,FALSE))</f>
        <v/>
      </c>
      <c r="D62" s="12" t="str">
        <f>IF(ISNA(VLOOKUP('[1]Enter Samples Here'!X61,'[1]Index Plate Layout'!$AF$2:$AI$97,4,FALSE)),"",VLOOKUP('[1]Enter Samples Here'!X61,'[1]Index Plate Layout'!$AF$2:$AI$97,4,FALSE))</f>
        <v/>
      </c>
      <c r="E62" s="12">
        <f>IF('[1]Enter Samples Here'!Q61="","",'[1]Enter Samples Here'!Q61)</f>
        <v>10</v>
      </c>
    </row>
    <row r="63" spans="1:5" x14ac:dyDescent="0.2">
      <c r="A63" s="35" t="s">
        <v>185</v>
      </c>
      <c r="B63" s="12">
        <f>IF('[1]Enter Samples Here'!R62="","",'[1]Enter Samples Here'!R62)</f>
        <v>500</v>
      </c>
      <c r="C63" s="12" t="str">
        <f>IF(ISNA(VLOOKUP('[1]Enter Samples Here'!$AS62,'[1]Index Plate Layout'!$AF$2:$AI$97,3,FALSE)),"",VLOOKUP('[1]Enter Samples Here'!$AS62,'[1]Index Plate Layout'!$AF$2:$AI$97,3,FALSE))</f>
        <v/>
      </c>
      <c r="D63" s="12" t="str">
        <f>IF(ISNA(VLOOKUP('[1]Enter Samples Here'!X62,'[1]Index Plate Layout'!$AF$2:$AI$97,4,FALSE)),"",VLOOKUP('[1]Enter Samples Here'!X62,'[1]Index Plate Layout'!$AF$2:$AI$97,4,FALSE))</f>
        <v/>
      </c>
      <c r="E63" s="12">
        <f>IF('[1]Enter Samples Here'!Q62="","",'[1]Enter Samples Here'!Q62)</f>
        <v>10</v>
      </c>
    </row>
    <row r="64" spans="1:5" x14ac:dyDescent="0.2">
      <c r="A64" s="35" t="s">
        <v>186</v>
      </c>
      <c r="B64" s="12">
        <f>IF('[1]Enter Samples Here'!R63="","",'[1]Enter Samples Here'!R63)</f>
        <v>500</v>
      </c>
      <c r="C64" s="12" t="str">
        <f>IF(ISNA(VLOOKUP('[1]Enter Samples Here'!$AS63,'[1]Index Plate Layout'!$AF$2:$AI$97,3,FALSE)),"",VLOOKUP('[1]Enter Samples Here'!$AS63,'[1]Index Plate Layout'!$AF$2:$AI$97,3,FALSE))</f>
        <v/>
      </c>
      <c r="D64" s="12" t="str">
        <f>IF(ISNA(VLOOKUP('[1]Enter Samples Here'!X63,'[1]Index Plate Layout'!$AF$2:$AI$97,4,FALSE)),"",VLOOKUP('[1]Enter Samples Here'!X63,'[1]Index Plate Layout'!$AF$2:$AI$97,4,FALSE))</f>
        <v/>
      </c>
      <c r="E64" s="12">
        <f>IF('[1]Enter Samples Here'!Q63="","",'[1]Enter Samples Here'!Q63)</f>
        <v>10</v>
      </c>
    </row>
    <row r="65" spans="1:5" x14ac:dyDescent="0.2">
      <c r="A65" s="35" t="s">
        <v>187</v>
      </c>
      <c r="B65" s="12">
        <f>IF('[1]Enter Samples Here'!R64="","",'[1]Enter Samples Here'!R64)</f>
        <v>500</v>
      </c>
      <c r="C65" s="12" t="str">
        <f>IF(ISNA(VLOOKUP('[1]Enter Samples Here'!$AS64,'[1]Index Plate Layout'!$AF$2:$AI$97,3,FALSE)),"",VLOOKUP('[1]Enter Samples Here'!$AS64,'[1]Index Plate Layout'!$AF$2:$AI$97,3,FALSE))</f>
        <v/>
      </c>
      <c r="D65" s="12" t="str">
        <f>IF(ISNA(VLOOKUP('[1]Enter Samples Here'!X64,'[1]Index Plate Layout'!$AF$2:$AI$97,4,FALSE)),"",VLOOKUP('[1]Enter Samples Here'!X64,'[1]Index Plate Layout'!$AF$2:$AI$97,4,FALSE))</f>
        <v/>
      </c>
      <c r="E65" s="12">
        <f>IF('[1]Enter Samples Here'!Q64="","",'[1]Enter Samples Here'!Q64)</f>
        <v>10</v>
      </c>
    </row>
    <row r="66" spans="1:5" x14ac:dyDescent="0.2">
      <c r="A66" s="35" t="s">
        <v>188</v>
      </c>
      <c r="B66" s="12">
        <f>IF('[1]Enter Samples Here'!R65="","",'[1]Enter Samples Here'!R65)</f>
        <v>500</v>
      </c>
      <c r="C66" s="12" t="str">
        <f>IF(ISNA(VLOOKUP('[1]Enter Samples Here'!$AS65,'[1]Index Plate Layout'!$AF$2:$AI$97,3,FALSE)),"",VLOOKUP('[1]Enter Samples Here'!$AS65,'[1]Index Plate Layout'!$AF$2:$AI$97,3,FALSE))</f>
        <v/>
      </c>
      <c r="D66" s="12" t="str">
        <f>IF(ISNA(VLOOKUP('[1]Enter Samples Here'!X65,'[1]Index Plate Layout'!$AF$2:$AI$97,4,FALSE)),"",VLOOKUP('[1]Enter Samples Here'!X65,'[1]Index Plate Layout'!$AF$2:$AI$97,4,FALSE))</f>
        <v/>
      </c>
      <c r="E66" s="12">
        <f>IF('[1]Enter Samples Here'!Q65="","",'[1]Enter Samples Here'!Q65)</f>
        <v>10</v>
      </c>
    </row>
    <row r="67" spans="1:5" x14ac:dyDescent="0.2">
      <c r="A67" s="35" t="s">
        <v>189</v>
      </c>
      <c r="B67" s="12">
        <f>IF('[1]Enter Samples Here'!R66="","",'[1]Enter Samples Here'!R66)</f>
        <v>500</v>
      </c>
      <c r="C67" s="12" t="str">
        <f>IF(ISNA(VLOOKUP('[1]Enter Samples Here'!$AS66,'[1]Index Plate Layout'!$AF$2:$AI$97,3,FALSE)),"",VLOOKUP('[1]Enter Samples Here'!$AS66,'[1]Index Plate Layout'!$AF$2:$AI$97,3,FALSE))</f>
        <v/>
      </c>
      <c r="D67" s="12" t="str">
        <f>IF(ISNA(VLOOKUP('[1]Enter Samples Here'!X66,'[1]Index Plate Layout'!$AF$2:$AI$97,4,FALSE)),"",VLOOKUP('[1]Enter Samples Here'!X66,'[1]Index Plate Layout'!$AF$2:$AI$97,4,FALSE))</f>
        <v/>
      </c>
      <c r="E67" s="12">
        <f>IF('[1]Enter Samples Here'!Q66="","",'[1]Enter Samples Here'!Q66)</f>
        <v>10</v>
      </c>
    </row>
    <row r="68" spans="1:5" x14ac:dyDescent="0.2">
      <c r="A68" s="35" t="s">
        <v>190</v>
      </c>
      <c r="B68" s="12">
        <f>IF('[1]Enter Samples Here'!R67="","",'[1]Enter Samples Here'!R67)</f>
        <v>500</v>
      </c>
      <c r="C68" s="12" t="str">
        <f>IF(ISNA(VLOOKUP('[1]Enter Samples Here'!$AS67,'[1]Index Plate Layout'!$AF$2:$AI$97,3,FALSE)),"",VLOOKUP('[1]Enter Samples Here'!$AS67,'[1]Index Plate Layout'!$AF$2:$AI$97,3,FALSE))</f>
        <v/>
      </c>
      <c r="D68" s="12" t="str">
        <f>IF(ISNA(VLOOKUP('[1]Enter Samples Here'!X67,'[1]Index Plate Layout'!$AF$2:$AI$97,4,FALSE)),"",VLOOKUP('[1]Enter Samples Here'!X67,'[1]Index Plate Layout'!$AF$2:$AI$97,4,FALSE))</f>
        <v/>
      </c>
      <c r="E68" s="12">
        <f>IF('[1]Enter Samples Here'!Q67="","",'[1]Enter Samples Here'!Q67)</f>
        <v>10</v>
      </c>
    </row>
    <row r="69" spans="1:5" x14ac:dyDescent="0.2">
      <c r="A69" s="35" t="s">
        <v>191</v>
      </c>
      <c r="B69" s="12">
        <f>IF('[1]Enter Samples Here'!R68="","",'[1]Enter Samples Here'!R68)</f>
        <v>500</v>
      </c>
      <c r="C69" s="12" t="str">
        <f>IF(ISNA(VLOOKUP('[1]Enter Samples Here'!$AS68,'[1]Index Plate Layout'!$AF$2:$AI$97,3,FALSE)),"",VLOOKUP('[1]Enter Samples Here'!$AS68,'[1]Index Plate Layout'!$AF$2:$AI$97,3,FALSE))</f>
        <v/>
      </c>
      <c r="D69" s="12" t="str">
        <f>IF(ISNA(VLOOKUP('[1]Enter Samples Here'!X68,'[1]Index Plate Layout'!$AF$2:$AI$97,4,FALSE)),"",VLOOKUP('[1]Enter Samples Here'!X68,'[1]Index Plate Layout'!$AF$2:$AI$97,4,FALSE))</f>
        <v/>
      </c>
      <c r="E69" s="12">
        <f>IF('[1]Enter Samples Here'!Q68="","",'[1]Enter Samples Here'!Q68)</f>
        <v>10</v>
      </c>
    </row>
    <row r="70" spans="1:5" x14ac:dyDescent="0.2">
      <c r="A70" s="35" t="s">
        <v>192</v>
      </c>
      <c r="B70" s="12">
        <f>IF('[1]Enter Samples Here'!R69="","",'[1]Enter Samples Here'!R69)</f>
        <v>500</v>
      </c>
      <c r="C70" s="12" t="str">
        <f>IF(ISNA(VLOOKUP('[1]Enter Samples Here'!$AS69,'[1]Index Plate Layout'!$AF$2:$AI$97,3,FALSE)),"",VLOOKUP('[1]Enter Samples Here'!$AS69,'[1]Index Plate Layout'!$AF$2:$AI$97,3,FALSE))</f>
        <v/>
      </c>
      <c r="D70" s="12" t="str">
        <f>IF(ISNA(VLOOKUP('[1]Enter Samples Here'!X69,'[1]Index Plate Layout'!$AF$2:$AI$97,4,FALSE)),"",VLOOKUP('[1]Enter Samples Here'!X69,'[1]Index Plate Layout'!$AF$2:$AI$97,4,FALSE))</f>
        <v/>
      </c>
      <c r="E70" s="12">
        <f>IF('[1]Enter Samples Here'!Q69="","",'[1]Enter Samples Here'!Q69)</f>
        <v>10</v>
      </c>
    </row>
    <row r="71" spans="1:5" x14ac:dyDescent="0.2">
      <c r="A71" s="35" t="s">
        <v>193</v>
      </c>
      <c r="B71" s="12">
        <f>IF('[1]Enter Samples Here'!R70="","",'[1]Enter Samples Here'!R70)</f>
        <v>500</v>
      </c>
      <c r="C71" s="12" t="str">
        <f>IF(ISNA(VLOOKUP('[1]Enter Samples Here'!$AS70,'[1]Index Plate Layout'!$AF$2:$AI$97,3,FALSE)),"",VLOOKUP('[1]Enter Samples Here'!$AS70,'[1]Index Plate Layout'!$AF$2:$AI$97,3,FALSE))</f>
        <v/>
      </c>
      <c r="D71" s="12" t="str">
        <f>IF(ISNA(VLOOKUP('[1]Enter Samples Here'!X70,'[1]Index Plate Layout'!$AF$2:$AI$97,4,FALSE)),"",VLOOKUP('[1]Enter Samples Here'!X70,'[1]Index Plate Layout'!$AF$2:$AI$97,4,FALSE))</f>
        <v/>
      </c>
      <c r="E71" s="12">
        <f>IF('[1]Enter Samples Here'!Q70="","",'[1]Enter Samples Here'!Q70)</f>
        <v>10</v>
      </c>
    </row>
    <row r="72" spans="1:5" x14ac:dyDescent="0.2">
      <c r="A72" s="35" t="s">
        <v>194</v>
      </c>
      <c r="B72" s="12">
        <f>IF('[1]Enter Samples Here'!R71="","",'[1]Enter Samples Here'!R71)</f>
        <v>500</v>
      </c>
      <c r="C72" s="12" t="str">
        <f>IF(ISNA(VLOOKUP('[1]Enter Samples Here'!$AS71,'[1]Index Plate Layout'!$AF$2:$AI$97,3,FALSE)),"",VLOOKUP('[1]Enter Samples Here'!$AS71,'[1]Index Plate Layout'!$AF$2:$AI$97,3,FALSE))</f>
        <v/>
      </c>
      <c r="D72" s="12" t="str">
        <f>IF(ISNA(VLOOKUP('[1]Enter Samples Here'!X71,'[1]Index Plate Layout'!$AF$2:$AI$97,4,FALSE)),"",VLOOKUP('[1]Enter Samples Here'!X71,'[1]Index Plate Layout'!$AF$2:$AI$97,4,FALSE))</f>
        <v/>
      </c>
      <c r="E72" s="12">
        <f>IF('[1]Enter Samples Here'!Q71="","",'[1]Enter Samples Here'!Q71)</f>
        <v>10</v>
      </c>
    </row>
    <row r="73" spans="1:5" x14ac:dyDescent="0.2">
      <c r="A73" s="35" t="s">
        <v>195</v>
      </c>
      <c r="B73" s="12">
        <f>IF('[1]Enter Samples Here'!R72="","",'[1]Enter Samples Here'!R72)</f>
        <v>500</v>
      </c>
      <c r="C73" s="12" t="str">
        <f>IF(ISNA(VLOOKUP('[1]Enter Samples Here'!$AS72,'[1]Index Plate Layout'!$AF$2:$AI$97,3,FALSE)),"",VLOOKUP('[1]Enter Samples Here'!$AS72,'[1]Index Plate Layout'!$AF$2:$AI$97,3,FALSE))</f>
        <v/>
      </c>
      <c r="D73" s="12" t="str">
        <f>IF(ISNA(VLOOKUP('[1]Enter Samples Here'!X72,'[1]Index Plate Layout'!$AF$2:$AI$97,4,FALSE)),"",VLOOKUP('[1]Enter Samples Here'!X72,'[1]Index Plate Layout'!$AF$2:$AI$97,4,FALSE))</f>
        <v/>
      </c>
      <c r="E73" s="12">
        <f>IF('[1]Enter Samples Here'!Q72="","",'[1]Enter Samples Here'!Q72)</f>
        <v>10</v>
      </c>
    </row>
    <row r="74" spans="1:5" x14ac:dyDescent="0.2">
      <c r="A74" s="35" t="s">
        <v>196</v>
      </c>
      <c r="B74" s="12">
        <f>IF('[1]Enter Samples Here'!R73="","",'[1]Enter Samples Here'!R73)</f>
        <v>500</v>
      </c>
      <c r="C74" s="12" t="str">
        <f>IF(ISNA(VLOOKUP('[1]Enter Samples Here'!$AS73,'[1]Index Plate Layout'!$AF$2:$AI$97,3,FALSE)),"",VLOOKUP('[1]Enter Samples Here'!$AS73,'[1]Index Plate Layout'!$AF$2:$AI$97,3,FALSE))</f>
        <v/>
      </c>
      <c r="D74" s="12" t="str">
        <f>IF(ISNA(VLOOKUP('[1]Enter Samples Here'!X73,'[1]Index Plate Layout'!$AF$2:$AI$97,4,FALSE)),"",VLOOKUP('[1]Enter Samples Here'!X73,'[1]Index Plate Layout'!$AF$2:$AI$97,4,FALSE))</f>
        <v/>
      </c>
      <c r="E74" s="12">
        <f>IF('[1]Enter Samples Here'!Q73="","",'[1]Enter Samples Here'!Q73)</f>
        <v>10</v>
      </c>
    </row>
    <row r="75" spans="1:5" x14ac:dyDescent="0.2">
      <c r="A75" s="35" t="s">
        <v>98</v>
      </c>
      <c r="B75" s="12">
        <f>IF('[1]Enter Samples Here'!R74="","",'[1]Enter Samples Here'!R74)</f>
        <v>500</v>
      </c>
      <c r="C75" s="12" t="str">
        <f>IF(ISNA(VLOOKUP('[1]Enter Samples Here'!$AS74,'[1]Index Plate Layout'!$AF$2:$AI$97,3,FALSE)),"",VLOOKUP('[1]Enter Samples Here'!$AS74,'[1]Index Plate Layout'!$AF$2:$AI$97,3,FALSE))</f>
        <v/>
      </c>
      <c r="D75" s="12" t="str">
        <f>IF(ISNA(VLOOKUP('[1]Enter Samples Here'!X74,'[1]Index Plate Layout'!$AF$2:$AI$97,4,FALSE)),"",VLOOKUP('[1]Enter Samples Here'!X74,'[1]Index Plate Layout'!$AF$2:$AI$97,4,FALSE))</f>
        <v/>
      </c>
      <c r="E75" s="12">
        <f>IF('[1]Enter Samples Here'!Q74="","",'[1]Enter Samples Here'!Q74)</f>
        <v>10</v>
      </c>
    </row>
    <row r="76" spans="1:5" x14ac:dyDescent="0.2">
      <c r="A76" s="35" t="s">
        <v>99</v>
      </c>
      <c r="B76" s="12">
        <f>IF('[1]Enter Samples Here'!R75="","",'[1]Enter Samples Here'!R75)</f>
        <v>500</v>
      </c>
      <c r="C76" s="12" t="str">
        <f>IF(ISNA(VLOOKUP('[1]Enter Samples Here'!$AS75,'[1]Index Plate Layout'!$AF$2:$AI$97,3,FALSE)),"",VLOOKUP('[1]Enter Samples Here'!$AS75,'[1]Index Plate Layout'!$AF$2:$AI$97,3,FALSE))</f>
        <v/>
      </c>
      <c r="D76" s="12" t="str">
        <f>IF(ISNA(VLOOKUP('[1]Enter Samples Here'!X75,'[1]Index Plate Layout'!$AF$2:$AI$97,4,FALSE)),"",VLOOKUP('[1]Enter Samples Here'!X75,'[1]Index Plate Layout'!$AF$2:$AI$97,4,FALSE))</f>
        <v/>
      </c>
      <c r="E76" s="12">
        <f>IF('[1]Enter Samples Here'!Q75="","",'[1]Enter Samples Here'!Q75)</f>
        <v>10</v>
      </c>
    </row>
    <row r="77" spans="1:5" x14ac:dyDescent="0.2">
      <c r="A77" s="35" t="s">
        <v>100</v>
      </c>
      <c r="B77" s="12">
        <f>IF('[1]Enter Samples Here'!R76="","",'[1]Enter Samples Here'!R76)</f>
        <v>500</v>
      </c>
      <c r="C77" s="12" t="str">
        <f>IF(ISNA(VLOOKUP('[1]Enter Samples Here'!$AS76,'[1]Index Plate Layout'!$AF$2:$AI$97,3,FALSE)),"",VLOOKUP('[1]Enter Samples Here'!$AS76,'[1]Index Plate Layout'!$AF$2:$AI$97,3,FALSE))</f>
        <v/>
      </c>
      <c r="D77" s="12" t="str">
        <f>IF(ISNA(VLOOKUP('[1]Enter Samples Here'!X76,'[1]Index Plate Layout'!$AF$2:$AI$97,4,FALSE)),"",VLOOKUP('[1]Enter Samples Here'!X76,'[1]Index Plate Layout'!$AF$2:$AI$97,4,FALSE))</f>
        <v/>
      </c>
      <c r="E77" s="12">
        <f>IF('[1]Enter Samples Here'!Q76="","",'[1]Enter Samples Here'!Q76)</f>
        <v>10</v>
      </c>
    </row>
    <row r="78" spans="1:5" x14ac:dyDescent="0.2">
      <c r="A78" s="35" t="s">
        <v>101</v>
      </c>
      <c r="B78" s="12">
        <f>IF('[1]Enter Samples Here'!R77="","",'[1]Enter Samples Here'!R77)</f>
        <v>500</v>
      </c>
      <c r="C78" s="12" t="str">
        <f>IF(ISNA(VLOOKUP('[1]Enter Samples Here'!$AS77,'[1]Index Plate Layout'!$AF$2:$AI$97,3,FALSE)),"",VLOOKUP('[1]Enter Samples Here'!$AS77,'[1]Index Plate Layout'!$AF$2:$AI$97,3,FALSE))</f>
        <v/>
      </c>
      <c r="D78" s="12" t="str">
        <f>IF(ISNA(VLOOKUP('[1]Enter Samples Here'!X77,'[1]Index Plate Layout'!$AF$2:$AI$97,4,FALSE)),"",VLOOKUP('[1]Enter Samples Here'!X77,'[1]Index Plate Layout'!$AF$2:$AI$97,4,FALSE))</f>
        <v/>
      </c>
      <c r="E78" s="12">
        <f>IF('[1]Enter Samples Here'!Q77="","",'[1]Enter Samples Here'!Q77)</f>
        <v>10</v>
      </c>
    </row>
    <row r="79" spans="1:5" x14ac:dyDescent="0.2">
      <c r="A79" s="35" t="s">
        <v>102</v>
      </c>
      <c r="B79" s="12">
        <f>IF('[1]Enter Samples Here'!R78="","",'[1]Enter Samples Here'!R78)</f>
        <v>500</v>
      </c>
      <c r="C79" s="12" t="str">
        <f>IF(ISNA(VLOOKUP('[1]Enter Samples Here'!$AS78,'[1]Index Plate Layout'!$AF$2:$AI$97,3,FALSE)),"",VLOOKUP('[1]Enter Samples Here'!$AS78,'[1]Index Plate Layout'!$AF$2:$AI$97,3,FALSE))</f>
        <v/>
      </c>
      <c r="D79" s="12" t="str">
        <f>IF(ISNA(VLOOKUP('[1]Enter Samples Here'!X78,'[1]Index Plate Layout'!$AF$2:$AI$97,4,FALSE)),"",VLOOKUP('[1]Enter Samples Here'!X78,'[1]Index Plate Layout'!$AF$2:$AI$97,4,FALSE))</f>
        <v/>
      </c>
      <c r="E79" s="12">
        <f>IF('[1]Enter Samples Here'!Q78="","",'[1]Enter Samples Here'!Q78)</f>
        <v>10</v>
      </c>
    </row>
    <row r="80" spans="1:5" x14ac:dyDescent="0.2">
      <c r="A80" s="35" t="s">
        <v>103</v>
      </c>
      <c r="B80" s="12">
        <f>IF('[1]Enter Samples Here'!R79="","",'[1]Enter Samples Here'!R79)</f>
        <v>500</v>
      </c>
      <c r="C80" s="12" t="str">
        <f>IF(ISNA(VLOOKUP('[1]Enter Samples Here'!$AS79,'[1]Index Plate Layout'!$AF$2:$AI$97,3,FALSE)),"",VLOOKUP('[1]Enter Samples Here'!$AS79,'[1]Index Plate Layout'!$AF$2:$AI$97,3,FALSE))</f>
        <v/>
      </c>
      <c r="D80" s="12" t="str">
        <f>IF(ISNA(VLOOKUP('[1]Enter Samples Here'!X79,'[1]Index Plate Layout'!$AF$2:$AI$97,4,FALSE)),"",VLOOKUP('[1]Enter Samples Here'!X79,'[1]Index Plate Layout'!$AF$2:$AI$97,4,FALSE))</f>
        <v/>
      </c>
      <c r="E80" s="12">
        <f>IF('[1]Enter Samples Here'!Q79="","",'[1]Enter Samples Here'!Q79)</f>
        <v>10</v>
      </c>
    </row>
    <row r="81" spans="1:5" x14ac:dyDescent="0.2">
      <c r="A81" s="35" t="s">
        <v>104</v>
      </c>
      <c r="B81" s="12">
        <f>IF('[1]Enter Samples Here'!R80="","",'[1]Enter Samples Here'!R80)</f>
        <v>500</v>
      </c>
      <c r="C81" s="12" t="str">
        <f>IF(ISNA(VLOOKUP('[1]Enter Samples Here'!$AS80,'[1]Index Plate Layout'!$AF$2:$AI$97,3,FALSE)),"",VLOOKUP('[1]Enter Samples Here'!$AS80,'[1]Index Plate Layout'!$AF$2:$AI$97,3,FALSE))</f>
        <v/>
      </c>
      <c r="D81" s="12" t="str">
        <f>IF(ISNA(VLOOKUP('[1]Enter Samples Here'!X80,'[1]Index Plate Layout'!$AF$2:$AI$97,4,FALSE)),"",VLOOKUP('[1]Enter Samples Here'!X80,'[1]Index Plate Layout'!$AF$2:$AI$97,4,FALSE))</f>
        <v/>
      </c>
      <c r="E81" s="12">
        <f>IF('[1]Enter Samples Here'!Q80="","",'[1]Enter Samples Here'!Q80)</f>
        <v>10</v>
      </c>
    </row>
    <row r="82" spans="1:5" x14ac:dyDescent="0.2">
      <c r="A82" s="35" t="s">
        <v>105</v>
      </c>
      <c r="B82" s="12">
        <f>IF('[1]Enter Samples Here'!R81="","",'[1]Enter Samples Here'!R81)</f>
        <v>500</v>
      </c>
      <c r="C82" s="12" t="str">
        <f>IF(ISNA(VLOOKUP('[1]Enter Samples Here'!$AS81,'[1]Index Plate Layout'!$AF$2:$AI$97,3,FALSE)),"",VLOOKUP('[1]Enter Samples Here'!$AS81,'[1]Index Plate Layout'!$AF$2:$AI$97,3,FALSE))</f>
        <v/>
      </c>
      <c r="D82" s="12" t="str">
        <f>IF(ISNA(VLOOKUP('[1]Enter Samples Here'!X81,'[1]Index Plate Layout'!$AF$2:$AI$97,4,FALSE)),"",VLOOKUP('[1]Enter Samples Here'!X81,'[1]Index Plate Layout'!$AF$2:$AI$97,4,FALSE))</f>
        <v/>
      </c>
      <c r="E82" s="12">
        <f>IF('[1]Enter Samples Here'!Q81="","",'[1]Enter Samples Here'!Q81)</f>
        <v>10</v>
      </c>
    </row>
    <row r="83" spans="1:5" x14ac:dyDescent="0.2">
      <c r="A83" s="35" t="s">
        <v>106</v>
      </c>
      <c r="B83" s="12">
        <f>IF('[1]Enter Samples Here'!R82="","",'[1]Enter Samples Here'!R82)</f>
        <v>500</v>
      </c>
      <c r="C83" s="12" t="str">
        <f>IF(ISNA(VLOOKUP('[1]Enter Samples Here'!$AS82,'[1]Index Plate Layout'!$AF$2:$AI$97,3,FALSE)),"",VLOOKUP('[1]Enter Samples Here'!$AS82,'[1]Index Plate Layout'!$AF$2:$AI$97,3,FALSE))</f>
        <v/>
      </c>
      <c r="D83" s="12" t="str">
        <f>IF(ISNA(VLOOKUP('[1]Enter Samples Here'!X82,'[1]Index Plate Layout'!$AF$2:$AI$97,4,FALSE)),"",VLOOKUP('[1]Enter Samples Here'!X82,'[1]Index Plate Layout'!$AF$2:$AI$97,4,FALSE))</f>
        <v/>
      </c>
      <c r="E83" s="12">
        <f>IF('[1]Enter Samples Here'!Q82="","",'[1]Enter Samples Here'!Q82)</f>
        <v>10</v>
      </c>
    </row>
    <row r="84" spans="1:5" x14ac:dyDescent="0.2">
      <c r="A84" s="35" t="s">
        <v>107</v>
      </c>
      <c r="B84" s="12">
        <f>IF('[1]Enter Samples Here'!R83="","",'[1]Enter Samples Here'!R83)</f>
        <v>500</v>
      </c>
      <c r="C84" s="12" t="str">
        <f>IF(ISNA(VLOOKUP('[1]Enter Samples Here'!$AS83,'[1]Index Plate Layout'!$AF$2:$AI$97,3,FALSE)),"",VLOOKUP('[1]Enter Samples Here'!$AS83,'[1]Index Plate Layout'!$AF$2:$AI$97,3,FALSE))</f>
        <v/>
      </c>
      <c r="D84" s="12" t="str">
        <f>IF(ISNA(VLOOKUP('[1]Enter Samples Here'!X83,'[1]Index Plate Layout'!$AF$2:$AI$97,4,FALSE)),"",VLOOKUP('[1]Enter Samples Here'!X83,'[1]Index Plate Layout'!$AF$2:$AI$97,4,FALSE))</f>
        <v/>
      </c>
      <c r="E84" s="12">
        <f>IF('[1]Enter Samples Here'!Q83="","",'[1]Enter Samples Here'!Q83)</f>
        <v>10</v>
      </c>
    </row>
    <row r="85" spans="1:5" x14ac:dyDescent="0.2">
      <c r="A85" s="35" t="s">
        <v>108</v>
      </c>
      <c r="B85" s="12">
        <f>IF('[1]Enter Samples Here'!R84="","",'[1]Enter Samples Here'!R84)</f>
        <v>500</v>
      </c>
      <c r="C85" s="12" t="str">
        <f>IF(ISNA(VLOOKUP('[1]Enter Samples Here'!$AS84,'[1]Index Plate Layout'!$AF$2:$AI$97,3,FALSE)),"",VLOOKUP('[1]Enter Samples Here'!$AS84,'[1]Index Plate Layout'!$AF$2:$AI$97,3,FALSE))</f>
        <v/>
      </c>
      <c r="D85" s="12" t="str">
        <f>IF(ISNA(VLOOKUP('[1]Enter Samples Here'!X84,'[1]Index Plate Layout'!$AF$2:$AI$97,4,FALSE)),"",VLOOKUP('[1]Enter Samples Here'!X84,'[1]Index Plate Layout'!$AF$2:$AI$97,4,FALSE))</f>
        <v/>
      </c>
      <c r="E85" s="12">
        <f>IF('[1]Enter Samples Here'!Q84="","",'[1]Enter Samples Here'!Q84)</f>
        <v>10</v>
      </c>
    </row>
    <row r="86" spans="1:5" x14ac:dyDescent="0.2">
      <c r="A86" s="35" t="s">
        <v>109</v>
      </c>
      <c r="B86" s="12">
        <f>IF('[1]Enter Samples Here'!R85="","",'[1]Enter Samples Here'!R85)</f>
        <v>500</v>
      </c>
      <c r="C86" s="12" t="str">
        <f>IF(ISNA(VLOOKUP('[1]Enter Samples Here'!$AS85,'[1]Index Plate Layout'!$AF$2:$AI$97,3,FALSE)),"",VLOOKUP('[1]Enter Samples Here'!$AS85,'[1]Index Plate Layout'!$AF$2:$AI$97,3,FALSE))</f>
        <v/>
      </c>
      <c r="D86" s="12" t="str">
        <f>IF(ISNA(VLOOKUP('[1]Enter Samples Here'!X85,'[1]Index Plate Layout'!$AF$2:$AI$97,4,FALSE)),"",VLOOKUP('[1]Enter Samples Here'!X85,'[1]Index Plate Layout'!$AF$2:$AI$97,4,FALSE))</f>
        <v/>
      </c>
      <c r="E86" s="12">
        <f>IF('[1]Enter Samples Here'!Q85="","",'[1]Enter Samples Here'!Q85)</f>
        <v>10</v>
      </c>
    </row>
    <row r="87" spans="1:5" x14ac:dyDescent="0.2">
      <c r="A87" s="35" t="s">
        <v>110</v>
      </c>
      <c r="B87" s="12">
        <f>IF('[1]Enter Samples Here'!R86="","",'[1]Enter Samples Here'!R86)</f>
        <v>500</v>
      </c>
      <c r="C87" s="12" t="str">
        <f>IF(ISNA(VLOOKUP('[1]Enter Samples Here'!$AS86,'[1]Index Plate Layout'!$AF$2:$AI$97,3,FALSE)),"",VLOOKUP('[1]Enter Samples Here'!$AS86,'[1]Index Plate Layout'!$AF$2:$AI$97,3,FALSE))</f>
        <v/>
      </c>
      <c r="D87" s="12" t="str">
        <f>IF(ISNA(VLOOKUP('[1]Enter Samples Here'!X86,'[1]Index Plate Layout'!$AF$2:$AI$97,4,FALSE)),"",VLOOKUP('[1]Enter Samples Here'!X86,'[1]Index Plate Layout'!$AF$2:$AI$97,4,FALSE))</f>
        <v/>
      </c>
      <c r="E87" s="12">
        <f>IF('[1]Enter Samples Here'!Q86="","",'[1]Enter Samples Here'!Q86)</f>
        <v>10</v>
      </c>
    </row>
    <row r="88" spans="1:5" x14ac:dyDescent="0.2">
      <c r="A88" s="35" t="s">
        <v>111</v>
      </c>
      <c r="B88" s="12">
        <f>IF('[1]Enter Samples Here'!R87="","",'[1]Enter Samples Here'!R87)</f>
        <v>500</v>
      </c>
      <c r="C88" s="12" t="str">
        <f>IF(ISNA(VLOOKUP('[1]Enter Samples Here'!$AS87,'[1]Index Plate Layout'!$AF$2:$AI$97,3,FALSE)),"",VLOOKUP('[1]Enter Samples Here'!$AS87,'[1]Index Plate Layout'!$AF$2:$AI$97,3,FALSE))</f>
        <v/>
      </c>
      <c r="D88" s="12" t="str">
        <f>IF(ISNA(VLOOKUP('[1]Enter Samples Here'!X87,'[1]Index Plate Layout'!$AF$2:$AI$97,4,FALSE)),"",VLOOKUP('[1]Enter Samples Here'!X87,'[1]Index Plate Layout'!$AF$2:$AI$97,4,FALSE))</f>
        <v/>
      </c>
      <c r="E88" s="12">
        <f>IF('[1]Enter Samples Here'!Q87="","",'[1]Enter Samples Here'!Q87)</f>
        <v>10</v>
      </c>
    </row>
    <row r="89" spans="1:5" x14ac:dyDescent="0.2">
      <c r="A89" s="35" t="s">
        <v>112</v>
      </c>
      <c r="B89" s="12">
        <f>IF('[1]Enter Samples Here'!R88="","",'[1]Enter Samples Here'!R88)</f>
        <v>500</v>
      </c>
      <c r="C89" s="12" t="str">
        <f>IF(ISNA(VLOOKUP('[1]Enter Samples Here'!$AS88,'[1]Index Plate Layout'!$AF$2:$AI$97,3,FALSE)),"",VLOOKUP('[1]Enter Samples Here'!$AS88,'[1]Index Plate Layout'!$AF$2:$AI$97,3,FALSE))</f>
        <v/>
      </c>
      <c r="D89" s="12" t="str">
        <f>IF(ISNA(VLOOKUP('[1]Enter Samples Here'!X88,'[1]Index Plate Layout'!$AF$2:$AI$97,4,FALSE)),"",VLOOKUP('[1]Enter Samples Here'!X88,'[1]Index Plate Layout'!$AF$2:$AI$97,4,FALSE))</f>
        <v/>
      </c>
      <c r="E89" s="12">
        <f>IF('[1]Enter Samples Here'!Q88="","",'[1]Enter Samples Here'!Q88)</f>
        <v>10</v>
      </c>
    </row>
    <row r="90" spans="1:5" x14ac:dyDescent="0.2">
      <c r="A90" s="35" t="s">
        <v>113</v>
      </c>
      <c r="B90" s="12">
        <f>IF('[1]Enter Samples Here'!R89="","",'[1]Enter Samples Here'!R89)</f>
        <v>500</v>
      </c>
      <c r="C90" s="12" t="str">
        <f>IF(ISNA(VLOOKUP('[1]Enter Samples Here'!$AS89,'[1]Index Plate Layout'!$AF$2:$AI$97,3,FALSE)),"",VLOOKUP('[1]Enter Samples Here'!$AS89,'[1]Index Plate Layout'!$AF$2:$AI$97,3,FALSE))</f>
        <v/>
      </c>
      <c r="D90" s="12" t="str">
        <f>IF(ISNA(VLOOKUP('[1]Enter Samples Here'!X89,'[1]Index Plate Layout'!$AF$2:$AI$97,4,FALSE)),"",VLOOKUP('[1]Enter Samples Here'!X89,'[1]Index Plate Layout'!$AF$2:$AI$97,4,FALSE))</f>
        <v/>
      </c>
      <c r="E90" s="12">
        <f>IF('[1]Enter Samples Here'!Q89="","",'[1]Enter Samples Here'!Q89)</f>
        <v>10</v>
      </c>
    </row>
    <row r="91" spans="1:5" x14ac:dyDescent="0.2">
      <c r="A91" s="35" t="s">
        <v>114</v>
      </c>
      <c r="B91" s="12">
        <f>IF('[1]Enter Samples Here'!R90="","",'[1]Enter Samples Here'!R90)</f>
        <v>500</v>
      </c>
      <c r="C91" s="12" t="str">
        <f>IF(ISNA(VLOOKUP('[1]Enter Samples Here'!$AS90,'[1]Index Plate Layout'!$AF$2:$AI$97,3,FALSE)),"",VLOOKUP('[1]Enter Samples Here'!$AS90,'[1]Index Plate Layout'!$AF$2:$AI$97,3,FALSE))</f>
        <v/>
      </c>
      <c r="D91" s="12" t="str">
        <f>IF(ISNA(VLOOKUP('[1]Enter Samples Here'!X90,'[1]Index Plate Layout'!$AF$2:$AI$97,4,FALSE)),"",VLOOKUP('[1]Enter Samples Here'!X90,'[1]Index Plate Layout'!$AF$2:$AI$97,4,FALSE))</f>
        <v/>
      </c>
      <c r="E91" s="12">
        <f>IF('[1]Enter Samples Here'!Q90="","",'[1]Enter Samples Here'!Q90)</f>
        <v>10</v>
      </c>
    </row>
    <row r="92" spans="1:5" x14ac:dyDescent="0.2">
      <c r="A92" s="35" t="s">
        <v>115</v>
      </c>
      <c r="B92" s="12">
        <f>IF('[1]Enter Samples Here'!R91="","",'[1]Enter Samples Here'!R91)</f>
        <v>500</v>
      </c>
      <c r="C92" s="12" t="str">
        <f>IF(ISNA(VLOOKUP('[1]Enter Samples Here'!$AS91,'[1]Index Plate Layout'!$AF$2:$AI$97,3,FALSE)),"",VLOOKUP('[1]Enter Samples Here'!$AS91,'[1]Index Plate Layout'!$AF$2:$AI$97,3,FALSE))</f>
        <v/>
      </c>
      <c r="D92" s="12" t="str">
        <f>IF(ISNA(VLOOKUP('[1]Enter Samples Here'!X91,'[1]Index Plate Layout'!$AF$2:$AI$97,4,FALSE)),"",VLOOKUP('[1]Enter Samples Here'!X91,'[1]Index Plate Layout'!$AF$2:$AI$97,4,FALSE))</f>
        <v/>
      </c>
      <c r="E92" s="12">
        <f>IF('[1]Enter Samples Here'!Q91="","",'[1]Enter Samples Here'!Q91)</f>
        <v>10</v>
      </c>
    </row>
    <row r="93" spans="1:5" x14ac:dyDescent="0.2">
      <c r="A93" s="35" t="s">
        <v>116</v>
      </c>
      <c r="B93" s="12">
        <f>IF('[1]Enter Samples Here'!R92="","",'[1]Enter Samples Here'!R92)</f>
        <v>500</v>
      </c>
      <c r="C93" s="12" t="str">
        <f>IF(ISNA(VLOOKUP('[1]Enter Samples Here'!$AS92,'[1]Index Plate Layout'!$AF$2:$AI$97,3,FALSE)),"",VLOOKUP('[1]Enter Samples Here'!$AS92,'[1]Index Plate Layout'!$AF$2:$AI$97,3,FALSE))</f>
        <v/>
      </c>
      <c r="D93" s="12" t="str">
        <f>IF(ISNA(VLOOKUP('[1]Enter Samples Here'!X92,'[1]Index Plate Layout'!$AF$2:$AI$97,4,FALSE)),"",VLOOKUP('[1]Enter Samples Here'!X92,'[1]Index Plate Layout'!$AF$2:$AI$97,4,FALSE))</f>
        <v/>
      </c>
      <c r="E93" s="12">
        <f>IF('[1]Enter Samples Here'!Q92="","",'[1]Enter Samples Here'!Q92)</f>
        <v>10</v>
      </c>
    </row>
    <row r="94" spans="1:5" x14ac:dyDescent="0.2">
      <c r="A94" s="35" t="s">
        <v>117</v>
      </c>
      <c r="B94" s="12">
        <f>IF('[1]Enter Samples Here'!R93="","",'[1]Enter Samples Here'!R93)</f>
        <v>500</v>
      </c>
      <c r="C94" s="12" t="str">
        <f>IF(ISNA(VLOOKUP('[1]Enter Samples Here'!$AS93,'[1]Index Plate Layout'!$AF$2:$AI$97,3,FALSE)),"",VLOOKUP('[1]Enter Samples Here'!$AS93,'[1]Index Plate Layout'!$AF$2:$AI$97,3,FALSE))</f>
        <v/>
      </c>
      <c r="D94" s="12" t="str">
        <f>IF(ISNA(VLOOKUP('[1]Enter Samples Here'!X93,'[1]Index Plate Layout'!$AF$2:$AI$97,4,FALSE)),"",VLOOKUP('[1]Enter Samples Here'!X93,'[1]Index Plate Layout'!$AF$2:$AI$97,4,FALSE))</f>
        <v/>
      </c>
      <c r="E94" s="12">
        <f>IF('[1]Enter Samples Here'!Q93="","",'[1]Enter Samples Here'!Q93)</f>
        <v>10</v>
      </c>
    </row>
    <row r="95" spans="1:5" x14ac:dyDescent="0.2">
      <c r="A95" s="35" t="s">
        <v>118</v>
      </c>
      <c r="B95" s="12">
        <f>IF('[1]Enter Samples Here'!R94="","",'[1]Enter Samples Here'!R94)</f>
        <v>500</v>
      </c>
      <c r="C95" s="12" t="str">
        <f>IF(ISNA(VLOOKUP('[1]Enter Samples Here'!$AS94,'[1]Index Plate Layout'!$AF$2:$AI$97,3,FALSE)),"",VLOOKUP('[1]Enter Samples Here'!$AS94,'[1]Index Plate Layout'!$AF$2:$AI$97,3,FALSE))</f>
        <v/>
      </c>
      <c r="D95" s="12" t="str">
        <f>IF(ISNA(VLOOKUP('[1]Enter Samples Here'!X94,'[1]Index Plate Layout'!$AF$2:$AI$97,4,FALSE)),"",VLOOKUP('[1]Enter Samples Here'!X94,'[1]Index Plate Layout'!$AF$2:$AI$97,4,FALSE))</f>
        <v/>
      </c>
      <c r="E95" s="12">
        <f>IF('[1]Enter Samples Here'!Q94="","",'[1]Enter Samples Here'!Q94)</f>
        <v>10</v>
      </c>
    </row>
    <row r="96" spans="1:5" x14ac:dyDescent="0.2">
      <c r="A96" s="35" t="s">
        <v>119</v>
      </c>
      <c r="B96" s="12">
        <f>IF('[1]Enter Samples Here'!R95="","",'[1]Enter Samples Here'!R95)</f>
        <v>500</v>
      </c>
      <c r="C96" s="12" t="str">
        <f>IF(ISNA(VLOOKUP('[1]Enter Samples Here'!$AS95,'[1]Index Plate Layout'!$AF$2:$AI$97,3,FALSE)),"",VLOOKUP('[1]Enter Samples Here'!$AS95,'[1]Index Plate Layout'!$AF$2:$AI$97,3,FALSE))</f>
        <v/>
      </c>
      <c r="D96" s="12" t="str">
        <f>IF(ISNA(VLOOKUP('[1]Enter Samples Here'!X95,'[1]Index Plate Layout'!$AF$2:$AI$97,4,FALSE)),"",VLOOKUP('[1]Enter Samples Here'!X95,'[1]Index Plate Layout'!$AF$2:$AI$97,4,FALSE))</f>
        <v/>
      </c>
      <c r="E96" s="12">
        <f>IF('[1]Enter Samples Here'!Q95="","",'[1]Enter Samples Here'!Q95)</f>
        <v>10</v>
      </c>
    </row>
    <row r="97" spans="1:5" x14ac:dyDescent="0.2">
      <c r="A97" s="35" t="s">
        <v>120</v>
      </c>
      <c r="B97" s="12">
        <f>IF('[1]Enter Samples Here'!R96="","",'[1]Enter Samples Here'!R96)</f>
        <v>500</v>
      </c>
      <c r="C97" s="12" t="str">
        <f>IF(ISNA(VLOOKUP('[1]Enter Samples Here'!$AS96,'[1]Index Plate Layout'!$AF$2:$AI$97,3,FALSE)),"",VLOOKUP('[1]Enter Samples Here'!$AS96,'[1]Index Plate Layout'!$AF$2:$AI$97,3,FALSE))</f>
        <v/>
      </c>
      <c r="D97" s="12" t="str">
        <f>IF(ISNA(VLOOKUP('[1]Enter Samples Here'!X96,'[1]Index Plate Layout'!$AF$2:$AI$97,4,FALSE)),"",VLOOKUP('[1]Enter Samples Here'!X96,'[1]Index Plate Layout'!$AF$2:$AI$97,4,FALSE))</f>
        <v/>
      </c>
      <c r="E97" s="12">
        <f>IF('[1]Enter Samples Here'!Q96="","",'[1]Enter Samples Here'!Q96)</f>
        <v>10</v>
      </c>
    </row>
    <row r="98" spans="1:5" x14ac:dyDescent="0.2">
      <c r="A98" s="35" t="s">
        <v>121</v>
      </c>
      <c r="B98" s="12">
        <f>IF('[1]Enter Samples Here'!R97="","",'[1]Enter Samples Here'!R97)</f>
        <v>500</v>
      </c>
      <c r="C98" s="12" t="str">
        <f>IF(ISNA(VLOOKUP('[1]Enter Samples Here'!$AS97,'[1]Index Plate Layout'!$AF$2:$AI$97,3,FALSE)),"",VLOOKUP('[1]Enter Samples Here'!$AS97,'[1]Index Plate Layout'!$AF$2:$AI$97,3,FALSE))</f>
        <v/>
      </c>
      <c r="D98" s="12" t="str">
        <f>IF(ISNA(VLOOKUP('[1]Enter Samples Here'!X97,'[1]Index Plate Layout'!$AF$2:$AI$97,4,FALSE)),"",VLOOKUP('[1]Enter Samples Here'!X97,'[1]Index Plate Layout'!$AF$2:$AI$97,4,FALSE))</f>
        <v/>
      </c>
      <c r="E98" s="12">
        <f>IF('[1]Enter Samples Here'!Q97="","",'[1]Enter Samples Here'!Q97)</f>
        <v>10</v>
      </c>
    </row>
  </sheetData>
  <mergeCells count="1">
    <mergeCell ref="A1:E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211C6-E27C-6B4B-ADA9-EBF2C74D4FF1}">
  <sheetPr codeName="Sheet5"/>
  <dimension ref="A1:X97"/>
  <sheetViews>
    <sheetView workbookViewId="0"/>
  </sheetViews>
  <sheetFormatPr baseColWidth="10" defaultColWidth="11.1640625" defaultRowHeight="16" x14ac:dyDescent="0.2"/>
  <sheetData>
    <row r="1" spans="1:24" x14ac:dyDescent="0.2">
      <c r="A1" s="1" t="s">
        <v>122</v>
      </c>
      <c r="B1" s="1" t="s">
        <v>197</v>
      </c>
      <c r="C1" s="1" t="s">
        <v>198</v>
      </c>
      <c r="D1" s="1" t="s">
        <v>199</v>
      </c>
      <c r="E1" s="1"/>
      <c r="F1" s="1" t="s">
        <v>122</v>
      </c>
      <c r="G1" s="1" t="s">
        <v>200</v>
      </c>
      <c r="H1" s="1" t="s">
        <v>198</v>
      </c>
      <c r="I1" s="1" t="s">
        <v>199</v>
      </c>
      <c r="J1" s="1"/>
      <c r="K1" s="1" t="s">
        <v>122</v>
      </c>
      <c r="L1" s="1" t="s">
        <v>201</v>
      </c>
      <c r="M1" s="1" t="s">
        <v>198</v>
      </c>
      <c r="N1" s="1" t="s">
        <v>199</v>
      </c>
      <c r="O1" s="1"/>
      <c r="P1" s="1" t="s">
        <v>122</v>
      </c>
      <c r="Q1" s="1" t="s">
        <v>0</v>
      </c>
      <c r="R1" s="1" t="s">
        <v>198</v>
      </c>
      <c r="S1" s="1" t="s">
        <v>199</v>
      </c>
      <c r="T1" s="1"/>
      <c r="U1" s="1" t="s">
        <v>122</v>
      </c>
      <c r="V1" s="1" t="s">
        <v>202</v>
      </c>
      <c r="W1" s="1" t="s">
        <v>198</v>
      </c>
      <c r="X1" s="1" t="s">
        <v>199</v>
      </c>
    </row>
    <row r="2" spans="1:24" x14ac:dyDescent="0.2">
      <c r="A2" s="1" t="s">
        <v>125</v>
      </c>
      <c r="B2" s="1" t="s">
        <v>549</v>
      </c>
      <c r="C2" s="1" t="s">
        <v>203</v>
      </c>
      <c r="D2" s="1" t="s">
        <v>204</v>
      </c>
      <c r="E2" s="1"/>
      <c r="F2" s="1" t="s">
        <v>125</v>
      </c>
      <c r="G2" s="1" t="s">
        <v>550</v>
      </c>
      <c r="H2" s="1" t="s">
        <v>205</v>
      </c>
      <c r="I2" s="1" t="s">
        <v>204</v>
      </c>
      <c r="J2" s="1"/>
      <c r="K2" s="1" t="s">
        <v>125</v>
      </c>
      <c r="L2" s="1" t="s">
        <v>206</v>
      </c>
      <c r="M2" s="1" t="s">
        <v>203</v>
      </c>
      <c r="N2" s="1" t="s">
        <v>207</v>
      </c>
      <c r="O2" s="1"/>
      <c r="P2" s="1" t="s">
        <v>125</v>
      </c>
      <c r="Q2" s="1" t="s">
        <v>551</v>
      </c>
      <c r="R2" s="1" t="s">
        <v>208</v>
      </c>
      <c r="S2" s="1" t="s">
        <v>203</v>
      </c>
      <c r="T2" s="1"/>
      <c r="U2" s="36" t="s">
        <v>125</v>
      </c>
      <c r="V2" s="1" t="s">
        <v>209</v>
      </c>
      <c r="W2" s="36" t="s">
        <v>210</v>
      </c>
      <c r="X2" s="36" t="s">
        <v>211</v>
      </c>
    </row>
    <row r="3" spans="1:24" x14ac:dyDescent="0.2">
      <c r="A3" s="1" t="s">
        <v>126</v>
      </c>
      <c r="B3" s="1" t="s">
        <v>552</v>
      </c>
      <c r="C3" s="1" t="s">
        <v>203</v>
      </c>
      <c r="D3" s="1" t="s">
        <v>212</v>
      </c>
      <c r="E3" s="1"/>
      <c r="F3" s="1" t="s">
        <v>126</v>
      </c>
      <c r="G3" s="1" t="s">
        <v>553</v>
      </c>
      <c r="H3" s="1" t="s">
        <v>205</v>
      </c>
      <c r="I3" s="1" t="s">
        <v>212</v>
      </c>
      <c r="J3" s="1"/>
      <c r="K3" s="1" t="s">
        <v>126</v>
      </c>
      <c r="L3" s="1" t="s">
        <v>213</v>
      </c>
      <c r="M3" s="1" t="s">
        <v>214</v>
      </c>
      <c r="N3" s="1" t="s">
        <v>207</v>
      </c>
      <c r="O3" s="1"/>
      <c r="P3" s="1" t="s">
        <v>126</v>
      </c>
      <c r="Q3" s="1" t="s">
        <v>554</v>
      </c>
      <c r="R3" s="1" t="s">
        <v>208</v>
      </c>
      <c r="S3" s="1" t="s">
        <v>215</v>
      </c>
      <c r="T3" s="1"/>
      <c r="U3" s="1" t="s">
        <v>126</v>
      </c>
      <c r="V3" s="1" t="s">
        <v>216</v>
      </c>
      <c r="W3" s="1" t="s">
        <v>217</v>
      </c>
      <c r="X3" s="1" t="s">
        <v>218</v>
      </c>
    </row>
    <row r="4" spans="1:24" x14ac:dyDescent="0.2">
      <c r="A4" s="1" t="s">
        <v>127</v>
      </c>
      <c r="B4" s="1" t="s">
        <v>555</v>
      </c>
      <c r="C4" s="1" t="s">
        <v>203</v>
      </c>
      <c r="D4" s="1" t="s">
        <v>219</v>
      </c>
      <c r="E4" s="1"/>
      <c r="F4" s="1" t="s">
        <v>127</v>
      </c>
      <c r="G4" s="1" t="s">
        <v>556</v>
      </c>
      <c r="H4" s="1" t="s">
        <v>205</v>
      </c>
      <c r="I4" s="1" t="s">
        <v>219</v>
      </c>
      <c r="J4" s="1"/>
      <c r="K4" s="1" t="s">
        <v>127</v>
      </c>
      <c r="L4" s="1" t="s">
        <v>220</v>
      </c>
      <c r="M4" s="1" t="s">
        <v>221</v>
      </c>
      <c r="N4" s="1" t="s">
        <v>207</v>
      </c>
      <c r="O4" s="1"/>
      <c r="P4" s="1" t="s">
        <v>127</v>
      </c>
      <c r="Q4" s="1" t="s">
        <v>557</v>
      </c>
      <c r="R4" s="1" t="s">
        <v>208</v>
      </c>
      <c r="S4" s="1" t="s">
        <v>222</v>
      </c>
      <c r="T4" s="1"/>
      <c r="U4" s="1" t="s">
        <v>127</v>
      </c>
      <c r="V4" s="1" t="s">
        <v>223</v>
      </c>
      <c r="W4" s="1" t="s">
        <v>224</v>
      </c>
      <c r="X4" s="1" t="s">
        <v>225</v>
      </c>
    </row>
    <row r="5" spans="1:24" x14ac:dyDescent="0.2">
      <c r="A5" s="1" t="s">
        <v>128</v>
      </c>
      <c r="B5" s="1" t="s">
        <v>558</v>
      </c>
      <c r="C5" s="1" t="s">
        <v>203</v>
      </c>
      <c r="D5" s="1" t="s">
        <v>226</v>
      </c>
      <c r="E5" s="1"/>
      <c r="F5" s="1" t="s">
        <v>128</v>
      </c>
      <c r="G5" s="1" t="s">
        <v>559</v>
      </c>
      <c r="H5" s="1" t="s">
        <v>205</v>
      </c>
      <c r="I5" s="1" t="s">
        <v>226</v>
      </c>
      <c r="J5" s="1"/>
      <c r="K5" s="1" t="s">
        <v>128</v>
      </c>
      <c r="L5" s="1" t="s">
        <v>227</v>
      </c>
      <c r="M5" s="1" t="s">
        <v>228</v>
      </c>
      <c r="N5" s="1" t="s">
        <v>207</v>
      </c>
      <c r="O5" s="1"/>
      <c r="P5" s="1" t="s">
        <v>128</v>
      </c>
      <c r="Q5" s="1" t="s">
        <v>560</v>
      </c>
      <c r="R5" s="1" t="s">
        <v>208</v>
      </c>
      <c r="S5" s="1" t="s">
        <v>214</v>
      </c>
      <c r="T5" s="1"/>
      <c r="U5" s="1" t="s">
        <v>128</v>
      </c>
      <c r="V5" s="1" t="s">
        <v>229</v>
      </c>
      <c r="W5" s="1" t="s">
        <v>230</v>
      </c>
      <c r="X5" s="1" t="s">
        <v>231</v>
      </c>
    </row>
    <row r="6" spans="1:24" x14ac:dyDescent="0.2">
      <c r="A6" s="1" t="s">
        <v>129</v>
      </c>
      <c r="B6" s="1" t="s">
        <v>561</v>
      </c>
      <c r="C6" s="1" t="s">
        <v>203</v>
      </c>
      <c r="D6" s="1" t="s">
        <v>232</v>
      </c>
      <c r="E6" s="1"/>
      <c r="F6" s="1" t="s">
        <v>129</v>
      </c>
      <c r="G6" s="1" t="s">
        <v>562</v>
      </c>
      <c r="H6" s="1" t="s">
        <v>205</v>
      </c>
      <c r="I6" s="1" t="s">
        <v>232</v>
      </c>
      <c r="J6" s="1"/>
      <c r="K6" s="1" t="s">
        <v>129</v>
      </c>
      <c r="L6" s="1" t="s">
        <v>233</v>
      </c>
      <c r="M6" s="1" t="s">
        <v>215</v>
      </c>
      <c r="N6" s="1" t="s">
        <v>207</v>
      </c>
      <c r="O6" s="1"/>
      <c r="P6" s="1" t="s">
        <v>129</v>
      </c>
      <c r="Q6" s="1" t="s">
        <v>563</v>
      </c>
      <c r="R6" s="1" t="s">
        <v>208</v>
      </c>
      <c r="S6" s="1" t="s">
        <v>234</v>
      </c>
      <c r="T6" s="1"/>
      <c r="U6" s="1" t="s">
        <v>129</v>
      </c>
      <c r="V6" s="1" t="s">
        <v>235</v>
      </c>
      <c r="W6" s="1" t="s">
        <v>236</v>
      </c>
      <c r="X6" s="1" t="s">
        <v>237</v>
      </c>
    </row>
    <row r="7" spans="1:24" x14ac:dyDescent="0.2">
      <c r="A7" s="1" t="s">
        <v>130</v>
      </c>
      <c r="B7" s="1" t="s">
        <v>564</v>
      </c>
      <c r="C7" s="1" t="s">
        <v>203</v>
      </c>
      <c r="D7" s="1" t="s">
        <v>238</v>
      </c>
      <c r="E7" s="1"/>
      <c r="F7" s="1" t="s">
        <v>130</v>
      </c>
      <c r="G7" s="1" t="s">
        <v>565</v>
      </c>
      <c r="H7" s="1" t="s">
        <v>205</v>
      </c>
      <c r="I7" s="1" t="s">
        <v>238</v>
      </c>
      <c r="J7" s="1"/>
      <c r="K7" s="1" t="s">
        <v>130</v>
      </c>
      <c r="L7" s="1" t="s">
        <v>239</v>
      </c>
      <c r="M7" s="1" t="s">
        <v>222</v>
      </c>
      <c r="N7" s="1" t="s">
        <v>207</v>
      </c>
      <c r="O7" s="1"/>
      <c r="P7" s="1" t="s">
        <v>130</v>
      </c>
      <c r="Q7" s="1" t="s">
        <v>566</v>
      </c>
      <c r="R7" s="1" t="s">
        <v>208</v>
      </c>
      <c r="S7" s="1" t="s">
        <v>240</v>
      </c>
      <c r="T7" s="1"/>
      <c r="U7" s="1" t="s">
        <v>130</v>
      </c>
      <c r="V7" s="1" t="s">
        <v>241</v>
      </c>
      <c r="W7" s="1" t="s">
        <v>242</v>
      </c>
      <c r="X7" s="1" t="s">
        <v>243</v>
      </c>
    </row>
    <row r="8" spans="1:24" x14ac:dyDescent="0.2">
      <c r="A8" s="1" t="s">
        <v>131</v>
      </c>
      <c r="B8" s="1" t="s">
        <v>567</v>
      </c>
      <c r="C8" s="1" t="s">
        <v>203</v>
      </c>
      <c r="D8" s="1" t="s">
        <v>244</v>
      </c>
      <c r="E8" s="1"/>
      <c r="F8" s="1" t="s">
        <v>131</v>
      </c>
      <c r="G8" s="1" t="s">
        <v>568</v>
      </c>
      <c r="H8" s="1" t="s">
        <v>205</v>
      </c>
      <c r="I8" s="1" t="s">
        <v>244</v>
      </c>
      <c r="J8" s="1"/>
      <c r="K8" s="1" t="s">
        <v>131</v>
      </c>
      <c r="L8" s="1" t="s">
        <v>245</v>
      </c>
      <c r="M8" s="1" t="s">
        <v>240</v>
      </c>
      <c r="N8" s="1" t="s">
        <v>207</v>
      </c>
      <c r="O8" s="1"/>
      <c r="P8" s="1" t="s">
        <v>131</v>
      </c>
      <c r="Q8" s="1" t="s">
        <v>569</v>
      </c>
      <c r="R8" s="1" t="s">
        <v>208</v>
      </c>
      <c r="S8" s="1" t="s">
        <v>221</v>
      </c>
      <c r="T8" s="1"/>
      <c r="U8" s="1" t="s">
        <v>131</v>
      </c>
      <c r="V8" s="1" t="s">
        <v>246</v>
      </c>
      <c r="W8" s="1" t="s">
        <v>247</v>
      </c>
      <c r="X8" s="1" t="s">
        <v>248</v>
      </c>
    </row>
    <row r="9" spans="1:24" x14ac:dyDescent="0.2">
      <c r="A9" s="1" t="s">
        <v>132</v>
      </c>
      <c r="B9" s="1" t="s">
        <v>570</v>
      </c>
      <c r="C9" s="1" t="s">
        <v>203</v>
      </c>
      <c r="D9" s="1" t="s">
        <v>249</v>
      </c>
      <c r="E9" s="1"/>
      <c r="F9" s="1" t="s">
        <v>132</v>
      </c>
      <c r="G9" s="1" t="s">
        <v>571</v>
      </c>
      <c r="H9" s="1" t="s">
        <v>205</v>
      </c>
      <c r="I9" s="1" t="s">
        <v>249</v>
      </c>
      <c r="J9" s="1"/>
      <c r="K9" s="1" t="s">
        <v>132</v>
      </c>
      <c r="L9" s="1" t="s">
        <v>250</v>
      </c>
      <c r="M9" s="1" t="s">
        <v>251</v>
      </c>
      <c r="N9" s="1" t="s">
        <v>207</v>
      </c>
      <c r="O9" s="1"/>
      <c r="P9" s="1" t="s">
        <v>132</v>
      </c>
      <c r="Q9" s="1" t="s">
        <v>572</v>
      </c>
      <c r="R9" s="1" t="s">
        <v>208</v>
      </c>
      <c r="S9" s="1" t="s">
        <v>251</v>
      </c>
      <c r="T9" s="1"/>
      <c r="U9" s="1" t="s">
        <v>132</v>
      </c>
      <c r="V9" s="1" t="s">
        <v>252</v>
      </c>
      <c r="W9" s="1" t="s">
        <v>253</v>
      </c>
      <c r="X9" s="1" t="s">
        <v>254</v>
      </c>
    </row>
    <row r="10" spans="1:24" x14ac:dyDescent="0.2">
      <c r="A10" s="1" t="s">
        <v>133</v>
      </c>
      <c r="B10" s="1" t="s">
        <v>573</v>
      </c>
      <c r="C10" s="1" t="s">
        <v>203</v>
      </c>
      <c r="D10" s="1" t="s">
        <v>255</v>
      </c>
      <c r="E10" s="1"/>
      <c r="F10" s="1" t="s">
        <v>133</v>
      </c>
      <c r="G10" s="1" t="s">
        <v>574</v>
      </c>
      <c r="H10" s="1" t="s">
        <v>205</v>
      </c>
      <c r="I10" s="1" t="s">
        <v>255</v>
      </c>
      <c r="J10" s="1"/>
      <c r="K10" s="1" t="s">
        <v>133</v>
      </c>
      <c r="L10" s="1" t="s">
        <v>256</v>
      </c>
      <c r="M10" s="1" t="s">
        <v>203</v>
      </c>
      <c r="N10" s="1" t="s">
        <v>257</v>
      </c>
      <c r="O10" s="1"/>
      <c r="P10" s="1" t="s">
        <v>133</v>
      </c>
      <c r="Q10" s="1" t="s">
        <v>575</v>
      </c>
      <c r="R10" s="1" t="s">
        <v>258</v>
      </c>
      <c r="S10" s="1" t="s">
        <v>203</v>
      </c>
      <c r="T10" s="1"/>
      <c r="U10" s="1" t="s">
        <v>133</v>
      </c>
      <c r="V10" s="1" t="s">
        <v>259</v>
      </c>
      <c r="W10" s="1" t="s">
        <v>260</v>
      </c>
      <c r="X10" s="1" t="s">
        <v>261</v>
      </c>
    </row>
    <row r="11" spans="1:24" x14ac:dyDescent="0.2">
      <c r="A11" s="1" t="s">
        <v>134</v>
      </c>
      <c r="B11" s="1" t="s">
        <v>576</v>
      </c>
      <c r="C11" s="1" t="s">
        <v>203</v>
      </c>
      <c r="D11" s="1" t="s">
        <v>262</v>
      </c>
      <c r="E11" s="1"/>
      <c r="F11" s="1" t="s">
        <v>134</v>
      </c>
      <c r="G11" s="1" t="s">
        <v>577</v>
      </c>
      <c r="H11" s="1" t="s">
        <v>205</v>
      </c>
      <c r="I11" s="1" t="s">
        <v>262</v>
      </c>
      <c r="J11" s="1"/>
      <c r="K11" s="1" t="s">
        <v>134</v>
      </c>
      <c r="L11" s="1" t="s">
        <v>263</v>
      </c>
      <c r="M11" s="1" t="s">
        <v>214</v>
      </c>
      <c r="N11" s="1" t="s">
        <v>257</v>
      </c>
      <c r="O11" s="1"/>
      <c r="P11" s="1" t="s">
        <v>134</v>
      </c>
      <c r="Q11" s="1" t="s">
        <v>578</v>
      </c>
      <c r="R11" s="1" t="s">
        <v>258</v>
      </c>
      <c r="S11" s="1" t="s">
        <v>215</v>
      </c>
      <c r="T11" s="1"/>
      <c r="U11" s="1" t="s">
        <v>134</v>
      </c>
      <c r="V11" s="1" t="s">
        <v>264</v>
      </c>
      <c r="W11" s="1" t="s">
        <v>265</v>
      </c>
      <c r="X11" s="1" t="s">
        <v>266</v>
      </c>
    </row>
    <row r="12" spans="1:24" x14ac:dyDescent="0.2">
      <c r="A12" s="1" t="s">
        <v>135</v>
      </c>
      <c r="B12" s="1" t="s">
        <v>579</v>
      </c>
      <c r="C12" s="1" t="s">
        <v>203</v>
      </c>
      <c r="D12" s="1" t="s">
        <v>267</v>
      </c>
      <c r="E12" s="1"/>
      <c r="F12" s="1" t="s">
        <v>135</v>
      </c>
      <c r="G12" s="1" t="s">
        <v>580</v>
      </c>
      <c r="H12" s="1" t="s">
        <v>205</v>
      </c>
      <c r="I12" s="1" t="s">
        <v>267</v>
      </c>
      <c r="J12" s="1"/>
      <c r="K12" s="1" t="s">
        <v>135</v>
      </c>
      <c r="L12" s="1" t="s">
        <v>268</v>
      </c>
      <c r="M12" s="1" t="s">
        <v>221</v>
      </c>
      <c r="N12" s="1" t="s">
        <v>257</v>
      </c>
      <c r="O12" s="1"/>
      <c r="P12" s="1" t="s">
        <v>135</v>
      </c>
      <c r="Q12" s="1" t="s">
        <v>581</v>
      </c>
      <c r="R12" s="1" t="s">
        <v>258</v>
      </c>
      <c r="S12" s="1" t="s">
        <v>222</v>
      </c>
      <c r="T12" s="1"/>
      <c r="U12" s="1" t="s">
        <v>135</v>
      </c>
      <c r="V12" s="1" t="s">
        <v>269</v>
      </c>
      <c r="W12" s="1" t="s">
        <v>270</v>
      </c>
      <c r="X12" s="1" t="s">
        <v>271</v>
      </c>
    </row>
    <row r="13" spans="1:24" x14ac:dyDescent="0.2">
      <c r="A13" s="1" t="s">
        <v>136</v>
      </c>
      <c r="B13" s="1" t="s">
        <v>582</v>
      </c>
      <c r="C13" s="1" t="s">
        <v>203</v>
      </c>
      <c r="D13" s="1" t="s">
        <v>272</v>
      </c>
      <c r="E13" s="1"/>
      <c r="F13" s="1" t="s">
        <v>136</v>
      </c>
      <c r="G13" s="1" t="s">
        <v>583</v>
      </c>
      <c r="H13" s="1" t="s">
        <v>205</v>
      </c>
      <c r="I13" s="1" t="s">
        <v>272</v>
      </c>
      <c r="J13" s="1"/>
      <c r="K13" s="1" t="s">
        <v>136</v>
      </c>
      <c r="L13" s="1" t="s">
        <v>273</v>
      </c>
      <c r="M13" s="1" t="s">
        <v>228</v>
      </c>
      <c r="N13" s="1" t="s">
        <v>257</v>
      </c>
      <c r="O13" s="1"/>
      <c r="P13" s="1" t="s">
        <v>136</v>
      </c>
      <c r="Q13" s="1" t="s">
        <v>584</v>
      </c>
      <c r="R13" s="1" t="s">
        <v>258</v>
      </c>
      <c r="S13" s="1" t="s">
        <v>214</v>
      </c>
      <c r="T13" s="1"/>
      <c r="U13" s="1" t="s">
        <v>136</v>
      </c>
      <c r="V13" s="1" t="s">
        <v>274</v>
      </c>
      <c r="W13" s="1" t="s">
        <v>275</v>
      </c>
      <c r="X13" s="1" t="s">
        <v>276</v>
      </c>
    </row>
    <row r="14" spans="1:24" x14ac:dyDescent="0.2">
      <c r="A14" s="1" t="s">
        <v>137</v>
      </c>
      <c r="B14" s="1" t="s">
        <v>585</v>
      </c>
      <c r="C14" s="1" t="s">
        <v>203</v>
      </c>
      <c r="D14" s="1" t="s">
        <v>277</v>
      </c>
      <c r="E14" s="1"/>
      <c r="F14" s="1" t="s">
        <v>137</v>
      </c>
      <c r="G14" s="1" t="s">
        <v>586</v>
      </c>
      <c r="H14" s="1" t="s">
        <v>205</v>
      </c>
      <c r="I14" s="1" t="s">
        <v>277</v>
      </c>
      <c r="J14" s="1"/>
      <c r="K14" s="1" t="s">
        <v>137</v>
      </c>
      <c r="L14" s="1" t="s">
        <v>278</v>
      </c>
      <c r="M14" s="1" t="s">
        <v>215</v>
      </c>
      <c r="N14" s="1" t="s">
        <v>257</v>
      </c>
      <c r="O14" s="1"/>
      <c r="P14" s="1" t="s">
        <v>137</v>
      </c>
      <c r="Q14" s="1" t="s">
        <v>587</v>
      </c>
      <c r="R14" s="1" t="s">
        <v>258</v>
      </c>
      <c r="S14" s="1" t="s">
        <v>234</v>
      </c>
      <c r="T14" s="1"/>
      <c r="U14" s="1" t="s">
        <v>137</v>
      </c>
      <c r="V14" s="1" t="s">
        <v>279</v>
      </c>
      <c r="W14" s="1" t="s">
        <v>280</v>
      </c>
      <c r="X14" s="1" t="s">
        <v>281</v>
      </c>
    </row>
    <row r="15" spans="1:24" x14ac:dyDescent="0.2">
      <c r="A15" s="1" t="s">
        <v>138</v>
      </c>
      <c r="B15" s="1" t="s">
        <v>588</v>
      </c>
      <c r="C15" s="1" t="s">
        <v>203</v>
      </c>
      <c r="D15" s="1" t="s">
        <v>282</v>
      </c>
      <c r="E15" s="1"/>
      <c r="F15" s="1" t="s">
        <v>138</v>
      </c>
      <c r="G15" s="1" t="s">
        <v>589</v>
      </c>
      <c r="H15" s="1" t="s">
        <v>205</v>
      </c>
      <c r="I15" s="1" t="s">
        <v>282</v>
      </c>
      <c r="J15" s="1"/>
      <c r="K15" s="1" t="s">
        <v>138</v>
      </c>
      <c r="L15" s="1" t="s">
        <v>283</v>
      </c>
      <c r="M15" s="1" t="s">
        <v>222</v>
      </c>
      <c r="N15" s="1" t="s">
        <v>257</v>
      </c>
      <c r="O15" s="1"/>
      <c r="P15" s="1" t="s">
        <v>138</v>
      </c>
      <c r="Q15" s="1" t="s">
        <v>590</v>
      </c>
      <c r="R15" s="1" t="s">
        <v>258</v>
      </c>
      <c r="S15" s="1" t="s">
        <v>240</v>
      </c>
      <c r="T15" s="1"/>
      <c r="U15" s="1" t="s">
        <v>138</v>
      </c>
      <c r="V15" s="1" t="s">
        <v>284</v>
      </c>
      <c r="W15" s="1" t="s">
        <v>285</v>
      </c>
      <c r="X15" s="1" t="s">
        <v>286</v>
      </c>
    </row>
    <row r="16" spans="1:24" x14ac:dyDescent="0.2">
      <c r="A16" s="1" t="s">
        <v>139</v>
      </c>
      <c r="B16" s="1" t="s">
        <v>591</v>
      </c>
      <c r="C16" s="1" t="s">
        <v>203</v>
      </c>
      <c r="D16" s="1" t="s">
        <v>287</v>
      </c>
      <c r="E16" s="1"/>
      <c r="F16" s="1" t="s">
        <v>139</v>
      </c>
      <c r="G16" s="1" t="s">
        <v>592</v>
      </c>
      <c r="H16" s="1" t="s">
        <v>205</v>
      </c>
      <c r="I16" s="1" t="s">
        <v>287</v>
      </c>
      <c r="J16" s="1"/>
      <c r="K16" s="1" t="s">
        <v>139</v>
      </c>
      <c r="L16" s="1" t="s">
        <v>288</v>
      </c>
      <c r="M16" s="1" t="s">
        <v>240</v>
      </c>
      <c r="N16" s="1" t="s">
        <v>257</v>
      </c>
      <c r="O16" s="1"/>
      <c r="P16" s="1" t="s">
        <v>139</v>
      </c>
      <c r="Q16" s="1" t="s">
        <v>593</v>
      </c>
      <c r="R16" s="1" t="s">
        <v>258</v>
      </c>
      <c r="S16" s="1" t="s">
        <v>221</v>
      </c>
      <c r="T16" s="1"/>
      <c r="U16" s="1" t="s">
        <v>139</v>
      </c>
      <c r="V16" s="1" t="s">
        <v>289</v>
      </c>
      <c r="W16" s="1" t="s">
        <v>290</v>
      </c>
      <c r="X16" s="1" t="s">
        <v>291</v>
      </c>
    </row>
    <row r="17" spans="1:24" x14ac:dyDescent="0.2">
      <c r="A17" s="1" t="s">
        <v>140</v>
      </c>
      <c r="B17" s="1" t="s">
        <v>594</v>
      </c>
      <c r="C17" s="1" t="s">
        <v>203</v>
      </c>
      <c r="D17" s="1" t="s">
        <v>292</v>
      </c>
      <c r="E17" s="1"/>
      <c r="F17" s="1" t="s">
        <v>140</v>
      </c>
      <c r="G17" s="1" t="s">
        <v>595</v>
      </c>
      <c r="H17" s="1" t="s">
        <v>205</v>
      </c>
      <c r="I17" s="1" t="s">
        <v>292</v>
      </c>
      <c r="J17" s="1"/>
      <c r="K17" s="1" t="s">
        <v>140</v>
      </c>
      <c r="L17" s="1" t="s">
        <v>293</v>
      </c>
      <c r="M17" s="1" t="s">
        <v>251</v>
      </c>
      <c r="N17" s="1" t="s">
        <v>257</v>
      </c>
      <c r="O17" s="1"/>
      <c r="P17" s="1" t="s">
        <v>140</v>
      </c>
      <c r="Q17" s="1" t="s">
        <v>596</v>
      </c>
      <c r="R17" s="1" t="s">
        <v>258</v>
      </c>
      <c r="S17" s="1" t="s">
        <v>251</v>
      </c>
      <c r="T17" s="1"/>
      <c r="U17" s="1" t="s">
        <v>140</v>
      </c>
      <c r="V17" s="1" t="s">
        <v>294</v>
      </c>
      <c r="W17" s="1" t="s">
        <v>295</v>
      </c>
      <c r="X17" s="1" t="s">
        <v>296</v>
      </c>
    </row>
    <row r="18" spans="1:24" x14ac:dyDescent="0.2">
      <c r="A18" s="1" t="s">
        <v>141</v>
      </c>
      <c r="B18" s="1" t="s">
        <v>597</v>
      </c>
      <c r="C18" s="1" t="s">
        <v>214</v>
      </c>
      <c r="D18" s="1" t="s">
        <v>204</v>
      </c>
      <c r="E18" s="1"/>
      <c r="F18" s="1" t="s">
        <v>141</v>
      </c>
      <c r="G18" s="1" t="s">
        <v>598</v>
      </c>
      <c r="H18" s="1" t="s">
        <v>205</v>
      </c>
      <c r="I18" s="1" t="s">
        <v>297</v>
      </c>
      <c r="J18" s="1"/>
      <c r="K18" s="1" t="s">
        <v>141</v>
      </c>
      <c r="L18" s="1" t="s">
        <v>298</v>
      </c>
      <c r="M18" s="1" t="s">
        <v>203</v>
      </c>
      <c r="N18" s="1" t="s">
        <v>299</v>
      </c>
      <c r="O18" s="1"/>
      <c r="P18" s="1" t="s">
        <v>141</v>
      </c>
      <c r="Q18" s="1" t="s">
        <v>599</v>
      </c>
      <c r="R18" s="1" t="s">
        <v>300</v>
      </c>
      <c r="S18" s="1" t="s">
        <v>203</v>
      </c>
      <c r="T18" s="1"/>
      <c r="U18" s="1" t="s">
        <v>141</v>
      </c>
      <c r="V18" s="1" t="s">
        <v>301</v>
      </c>
      <c r="W18" s="1" t="s">
        <v>302</v>
      </c>
      <c r="X18" s="1" t="s">
        <v>303</v>
      </c>
    </row>
    <row r="19" spans="1:24" x14ac:dyDescent="0.2">
      <c r="A19" s="1" t="s">
        <v>142</v>
      </c>
      <c r="B19" s="1" t="s">
        <v>600</v>
      </c>
      <c r="C19" s="1" t="s">
        <v>214</v>
      </c>
      <c r="D19" s="1" t="s">
        <v>212</v>
      </c>
      <c r="E19" s="1"/>
      <c r="F19" s="1" t="s">
        <v>142</v>
      </c>
      <c r="G19" s="1" t="s">
        <v>601</v>
      </c>
      <c r="H19" s="1" t="s">
        <v>205</v>
      </c>
      <c r="I19" s="1" t="s">
        <v>304</v>
      </c>
      <c r="J19" s="1"/>
      <c r="K19" s="1" t="s">
        <v>142</v>
      </c>
      <c r="L19" s="1" t="s">
        <v>305</v>
      </c>
      <c r="M19" s="1" t="s">
        <v>214</v>
      </c>
      <c r="N19" s="1" t="s">
        <v>299</v>
      </c>
      <c r="O19" s="1"/>
      <c r="P19" s="1" t="s">
        <v>142</v>
      </c>
      <c r="Q19" s="1" t="s">
        <v>602</v>
      </c>
      <c r="R19" s="1" t="s">
        <v>300</v>
      </c>
      <c r="S19" s="1" t="s">
        <v>215</v>
      </c>
      <c r="T19" s="1"/>
      <c r="U19" s="1" t="s">
        <v>142</v>
      </c>
      <c r="V19" s="1" t="s">
        <v>306</v>
      </c>
      <c r="W19" s="1" t="s">
        <v>307</v>
      </c>
      <c r="X19" s="1" t="s">
        <v>308</v>
      </c>
    </row>
    <row r="20" spans="1:24" x14ac:dyDescent="0.2">
      <c r="A20" s="1" t="s">
        <v>143</v>
      </c>
      <c r="B20" s="1" t="s">
        <v>603</v>
      </c>
      <c r="C20" s="1" t="s">
        <v>214</v>
      </c>
      <c r="D20" s="1" t="s">
        <v>219</v>
      </c>
      <c r="E20" s="1"/>
      <c r="F20" s="1" t="s">
        <v>143</v>
      </c>
      <c r="G20" s="1" t="s">
        <v>604</v>
      </c>
      <c r="H20" s="1" t="s">
        <v>205</v>
      </c>
      <c r="I20" s="1" t="s">
        <v>309</v>
      </c>
      <c r="J20" s="1"/>
      <c r="K20" s="1" t="s">
        <v>143</v>
      </c>
      <c r="L20" s="1" t="s">
        <v>310</v>
      </c>
      <c r="M20" s="1" t="s">
        <v>221</v>
      </c>
      <c r="N20" s="1" t="s">
        <v>299</v>
      </c>
      <c r="O20" s="1"/>
      <c r="P20" s="1" t="s">
        <v>143</v>
      </c>
      <c r="Q20" s="1" t="s">
        <v>605</v>
      </c>
      <c r="R20" s="1" t="s">
        <v>300</v>
      </c>
      <c r="S20" s="1" t="s">
        <v>222</v>
      </c>
      <c r="T20" s="1"/>
      <c r="U20" s="1" t="s">
        <v>143</v>
      </c>
      <c r="V20" s="1" t="s">
        <v>311</v>
      </c>
      <c r="W20" s="1" t="s">
        <v>312</v>
      </c>
      <c r="X20" s="1" t="s">
        <v>313</v>
      </c>
    </row>
    <row r="21" spans="1:24" x14ac:dyDescent="0.2">
      <c r="A21" s="1" t="s">
        <v>144</v>
      </c>
      <c r="B21" s="1" t="s">
        <v>606</v>
      </c>
      <c r="C21" s="1" t="s">
        <v>214</v>
      </c>
      <c r="D21" s="1" t="s">
        <v>226</v>
      </c>
      <c r="E21" s="1"/>
      <c r="F21" s="1" t="s">
        <v>144</v>
      </c>
      <c r="G21" s="1" t="s">
        <v>607</v>
      </c>
      <c r="H21" s="1" t="s">
        <v>205</v>
      </c>
      <c r="I21" s="1" t="s">
        <v>314</v>
      </c>
      <c r="J21" s="1"/>
      <c r="K21" s="1" t="s">
        <v>144</v>
      </c>
      <c r="L21" s="1" t="s">
        <v>315</v>
      </c>
      <c r="M21" s="1" t="s">
        <v>228</v>
      </c>
      <c r="N21" s="1" t="s">
        <v>299</v>
      </c>
      <c r="O21" s="1"/>
      <c r="P21" s="1" t="s">
        <v>144</v>
      </c>
      <c r="Q21" s="1" t="s">
        <v>608</v>
      </c>
      <c r="R21" s="1" t="s">
        <v>300</v>
      </c>
      <c r="S21" s="1" t="s">
        <v>214</v>
      </c>
      <c r="T21" s="1"/>
      <c r="U21" s="1" t="s">
        <v>144</v>
      </c>
      <c r="V21" s="1" t="s">
        <v>316</v>
      </c>
      <c r="W21" s="1" t="s">
        <v>317</v>
      </c>
      <c r="X21" s="1" t="s">
        <v>318</v>
      </c>
    </row>
    <row r="22" spans="1:24" x14ac:dyDescent="0.2">
      <c r="A22" s="1" t="s">
        <v>145</v>
      </c>
      <c r="B22" s="1" t="s">
        <v>609</v>
      </c>
      <c r="C22" s="1" t="s">
        <v>214</v>
      </c>
      <c r="D22" s="1" t="s">
        <v>232</v>
      </c>
      <c r="E22" s="1"/>
      <c r="F22" s="1" t="s">
        <v>145</v>
      </c>
      <c r="G22" s="1" t="s">
        <v>610</v>
      </c>
      <c r="H22" s="1" t="s">
        <v>203</v>
      </c>
      <c r="I22" s="1" t="s">
        <v>297</v>
      </c>
      <c r="J22" s="1"/>
      <c r="K22" s="1" t="s">
        <v>145</v>
      </c>
      <c r="L22" s="1" t="s">
        <v>319</v>
      </c>
      <c r="M22" s="1" t="s">
        <v>215</v>
      </c>
      <c r="N22" s="1" t="s">
        <v>299</v>
      </c>
      <c r="O22" s="1"/>
      <c r="P22" s="1" t="s">
        <v>145</v>
      </c>
      <c r="Q22" s="1" t="s">
        <v>611</v>
      </c>
      <c r="R22" s="1" t="s">
        <v>300</v>
      </c>
      <c r="S22" s="1" t="s">
        <v>234</v>
      </c>
      <c r="T22" s="1"/>
      <c r="U22" s="1" t="s">
        <v>145</v>
      </c>
      <c r="V22" s="1" t="s">
        <v>320</v>
      </c>
      <c r="W22" s="1" t="s">
        <v>321</v>
      </c>
      <c r="X22" s="1" t="s">
        <v>322</v>
      </c>
    </row>
    <row r="23" spans="1:24" x14ac:dyDescent="0.2">
      <c r="A23" s="1" t="s">
        <v>146</v>
      </c>
      <c r="B23" s="1" t="s">
        <v>612</v>
      </c>
      <c r="C23" s="1" t="s">
        <v>214</v>
      </c>
      <c r="D23" s="1" t="s">
        <v>238</v>
      </c>
      <c r="E23" s="1"/>
      <c r="F23" s="1" t="s">
        <v>146</v>
      </c>
      <c r="G23" s="1" t="s">
        <v>613</v>
      </c>
      <c r="H23" s="1" t="s">
        <v>203</v>
      </c>
      <c r="I23" s="1" t="s">
        <v>304</v>
      </c>
      <c r="J23" s="1"/>
      <c r="K23" s="1" t="s">
        <v>146</v>
      </c>
      <c r="L23" s="1" t="s">
        <v>323</v>
      </c>
      <c r="M23" s="1" t="s">
        <v>222</v>
      </c>
      <c r="N23" s="1" t="s">
        <v>299</v>
      </c>
      <c r="O23" s="1"/>
      <c r="P23" s="1" t="s">
        <v>146</v>
      </c>
      <c r="Q23" s="1" t="s">
        <v>614</v>
      </c>
      <c r="R23" s="1" t="s">
        <v>300</v>
      </c>
      <c r="S23" s="1" t="s">
        <v>240</v>
      </c>
      <c r="T23" s="1"/>
      <c r="U23" s="1" t="s">
        <v>146</v>
      </c>
      <c r="V23" s="1" t="s">
        <v>324</v>
      </c>
      <c r="W23" s="1" t="s">
        <v>325</v>
      </c>
      <c r="X23" s="1" t="s">
        <v>326</v>
      </c>
    </row>
    <row r="24" spans="1:24" x14ac:dyDescent="0.2">
      <c r="A24" s="1" t="s">
        <v>147</v>
      </c>
      <c r="B24" s="1" t="s">
        <v>615</v>
      </c>
      <c r="C24" s="1" t="s">
        <v>214</v>
      </c>
      <c r="D24" s="1" t="s">
        <v>244</v>
      </c>
      <c r="E24" s="1"/>
      <c r="F24" s="1" t="s">
        <v>147</v>
      </c>
      <c r="G24" s="1" t="s">
        <v>616</v>
      </c>
      <c r="H24" s="1" t="s">
        <v>203</v>
      </c>
      <c r="I24" s="1" t="s">
        <v>309</v>
      </c>
      <c r="J24" s="1"/>
      <c r="K24" s="1" t="s">
        <v>147</v>
      </c>
      <c r="L24" s="1" t="s">
        <v>327</v>
      </c>
      <c r="M24" s="1" t="s">
        <v>240</v>
      </c>
      <c r="N24" s="1" t="s">
        <v>299</v>
      </c>
      <c r="O24" s="1"/>
      <c r="P24" s="1" t="s">
        <v>147</v>
      </c>
      <c r="Q24" s="1" t="s">
        <v>617</v>
      </c>
      <c r="R24" s="1" t="s">
        <v>300</v>
      </c>
      <c r="S24" s="1" t="s">
        <v>221</v>
      </c>
      <c r="T24" s="1"/>
      <c r="U24" s="1" t="s">
        <v>147</v>
      </c>
      <c r="V24" s="1" t="s">
        <v>328</v>
      </c>
      <c r="W24" s="1" t="s">
        <v>329</v>
      </c>
      <c r="X24" s="1" t="s">
        <v>330</v>
      </c>
    </row>
    <row r="25" spans="1:24" x14ac:dyDescent="0.2">
      <c r="A25" s="1" t="s">
        <v>148</v>
      </c>
      <c r="B25" s="1" t="s">
        <v>618</v>
      </c>
      <c r="C25" s="1" t="s">
        <v>214</v>
      </c>
      <c r="D25" s="1" t="s">
        <v>249</v>
      </c>
      <c r="E25" s="1"/>
      <c r="F25" s="1" t="s">
        <v>148</v>
      </c>
      <c r="G25" s="1" t="s">
        <v>619</v>
      </c>
      <c r="H25" s="1" t="s">
        <v>203</v>
      </c>
      <c r="I25" s="1" t="s">
        <v>314</v>
      </c>
      <c r="J25" s="1"/>
      <c r="K25" s="1" t="s">
        <v>148</v>
      </c>
      <c r="L25" s="1" t="s">
        <v>331</v>
      </c>
      <c r="M25" s="1" t="s">
        <v>251</v>
      </c>
      <c r="N25" s="1" t="s">
        <v>299</v>
      </c>
      <c r="O25" s="1"/>
      <c r="P25" s="1" t="s">
        <v>148</v>
      </c>
      <c r="Q25" s="1" t="s">
        <v>620</v>
      </c>
      <c r="R25" s="1" t="s">
        <v>300</v>
      </c>
      <c r="S25" s="1" t="s">
        <v>251</v>
      </c>
      <c r="T25" s="1"/>
      <c r="U25" s="1" t="s">
        <v>148</v>
      </c>
      <c r="V25" s="1" t="s">
        <v>332</v>
      </c>
      <c r="W25" s="1" t="s">
        <v>333</v>
      </c>
      <c r="X25" s="1" t="s">
        <v>334</v>
      </c>
    </row>
    <row r="26" spans="1:24" x14ac:dyDescent="0.2">
      <c r="A26" s="1" t="s">
        <v>149</v>
      </c>
      <c r="B26" s="1" t="s">
        <v>621</v>
      </c>
      <c r="C26" s="1" t="s">
        <v>214</v>
      </c>
      <c r="D26" s="1" t="s">
        <v>255</v>
      </c>
      <c r="E26" s="1"/>
      <c r="F26" s="1" t="s">
        <v>149</v>
      </c>
      <c r="G26" s="1" t="s">
        <v>622</v>
      </c>
      <c r="H26" s="1" t="s">
        <v>335</v>
      </c>
      <c r="I26" s="1" t="s">
        <v>204</v>
      </c>
      <c r="J26" s="1"/>
      <c r="K26" s="1" t="s">
        <v>149</v>
      </c>
      <c r="L26" s="1" t="s">
        <v>336</v>
      </c>
      <c r="M26" s="1" t="s">
        <v>203</v>
      </c>
      <c r="N26" s="1" t="s">
        <v>337</v>
      </c>
      <c r="O26" s="1"/>
      <c r="P26" s="1" t="s">
        <v>149</v>
      </c>
      <c r="Q26" s="1" t="s">
        <v>623</v>
      </c>
      <c r="R26" s="1" t="s">
        <v>338</v>
      </c>
      <c r="S26" s="1" t="s">
        <v>203</v>
      </c>
      <c r="T26" s="1"/>
      <c r="U26" s="1" t="s">
        <v>149</v>
      </c>
      <c r="V26" s="1" t="s">
        <v>339</v>
      </c>
      <c r="W26" s="1" t="s">
        <v>340</v>
      </c>
      <c r="X26" s="1" t="s">
        <v>341</v>
      </c>
    </row>
    <row r="27" spans="1:24" x14ac:dyDescent="0.2">
      <c r="A27" s="1" t="s">
        <v>150</v>
      </c>
      <c r="B27" s="1" t="s">
        <v>624</v>
      </c>
      <c r="C27" s="1" t="s">
        <v>214</v>
      </c>
      <c r="D27" s="1" t="s">
        <v>262</v>
      </c>
      <c r="E27" s="1"/>
      <c r="F27" s="1" t="s">
        <v>150</v>
      </c>
      <c r="G27" s="1" t="s">
        <v>625</v>
      </c>
      <c r="H27" s="1" t="s">
        <v>335</v>
      </c>
      <c r="I27" s="1" t="s">
        <v>212</v>
      </c>
      <c r="J27" s="1"/>
      <c r="K27" s="1" t="s">
        <v>150</v>
      </c>
      <c r="L27" s="1" t="s">
        <v>342</v>
      </c>
      <c r="M27" s="1" t="s">
        <v>214</v>
      </c>
      <c r="N27" s="1" t="s">
        <v>337</v>
      </c>
      <c r="O27" s="1"/>
      <c r="P27" s="1" t="s">
        <v>150</v>
      </c>
      <c r="Q27" s="1" t="s">
        <v>626</v>
      </c>
      <c r="R27" s="1" t="s">
        <v>338</v>
      </c>
      <c r="S27" s="1" t="s">
        <v>215</v>
      </c>
      <c r="T27" s="1"/>
      <c r="U27" s="1" t="s">
        <v>150</v>
      </c>
      <c r="V27" s="1" t="s">
        <v>343</v>
      </c>
      <c r="W27" s="1" t="s">
        <v>344</v>
      </c>
      <c r="X27" s="1" t="s">
        <v>345</v>
      </c>
    </row>
    <row r="28" spans="1:24" x14ac:dyDescent="0.2">
      <c r="A28" s="1" t="s">
        <v>151</v>
      </c>
      <c r="B28" s="1" t="s">
        <v>627</v>
      </c>
      <c r="C28" s="1" t="s">
        <v>214</v>
      </c>
      <c r="D28" s="1" t="s">
        <v>267</v>
      </c>
      <c r="E28" s="1"/>
      <c r="F28" s="1" t="s">
        <v>151</v>
      </c>
      <c r="G28" s="1" t="s">
        <v>628</v>
      </c>
      <c r="H28" s="1" t="s">
        <v>335</v>
      </c>
      <c r="I28" s="1" t="s">
        <v>219</v>
      </c>
      <c r="J28" s="1"/>
      <c r="K28" s="1" t="s">
        <v>151</v>
      </c>
      <c r="L28" s="1" t="s">
        <v>346</v>
      </c>
      <c r="M28" s="1" t="s">
        <v>221</v>
      </c>
      <c r="N28" s="1" t="s">
        <v>337</v>
      </c>
      <c r="O28" s="1"/>
      <c r="P28" s="1" t="s">
        <v>151</v>
      </c>
      <c r="Q28" s="1" t="s">
        <v>629</v>
      </c>
      <c r="R28" s="1" t="s">
        <v>338</v>
      </c>
      <c r="S28" s="1" t="s">
        <v>222</v>
      </c>
      <c r="T28" s="1"/>
      <c r="U28" s="1" t="s">
        <v>151</v>
      </c>
      <c r="V28" s="1" t="s">
        <v>347</v>
      </c>
      <c r="W28" s="1" t="s">
        <v>348</v>
      </c>
      <c r="X28" s="1" t="s">
        <v>349</v>
      </c>
    </row>
    <row r="29" spans="1:24" x14ac:dyDescent="0.2">
      <c r="A29" s="1" t="s">
        <v>152</v>
      </c>
      <c r="B29" s="1" t="s">
        <v>630</v>
      </c>
      <c r="C29" s="1" t="s">
        <v>214</v>
      </c>
      <c r="D29" s="1" t="s">
        <v>272</v>
      </c>
      <c r="E29" s="1"/>
      <c r="F29" s="1" t="s">
        <v>152</v>
      </c>
      <c r="G29" s="1" t="s">
        <v>631</v>
      </c>
      <c r="H29" s="1" t="s">
        <v>335</v>
      </c>
      <c r="I29" s="1" t="s">
        <v>226</v>
      </c>
      <c r="J29" s="1"/>
      <c r="K29" s="1" t="s">
        <v>152</v>
      </c>
      <c r="L29" s="1" t="s">
        <v>350</v>
      </c>
      <c r="M29" s="1" t="s">
        <v>228</v>
      </c>
      <c r="N29" s="1" t="s">
        <v>337</v>
      </c>
      <c r="O29" s="1"/>
      <c r="P29" s="1" t="s">
        <v>152</v>
      </c>
      <c r="Q29" s="1" t="s">
        <v>632</v>
      </c>
      <c r="R29" s="1" t="s">
        <v>338</v>
      </c>
      <c r="S29" s="1" t="s">
        <v>214</v>
      </c>
      <c r="T29" s="1"/>
      <c r="U29" s="1" t="s">
        <v>152</v>
      </c>
      <c r="V29" s="1" t="s">
        <v>351</v>
      </c>
      <c r="W29" s="1" t="s">
        <v>352</v>
      </c>
      <c r="X29" s="1" t="s">
        <v>353</v>
      </c>
    </row>
    <row r="30" spans="1:24" x14ac:dyDescent="0.2">
      <c r="A30" s="1" t="s">
        <v>153</v>
      </c>
      <c r="B30" s="1" t="s">
        <v>633</v>
      </c>
      <c r="C30" s="1" t="s">
        <v>214</v>
      </c>
      <c r="D30" s="1" t="s">
        <v>277</v>
      </c>
      <c r="E30" s="1"/>
      <c r="F30" s="1" t="s">
        <v>153</v>
      </c>
      <c r="G30" s="1" t="s">
        <v>634</v>
      </c>
      <c r="H30" s="1" t="s">
        <v>335</v>
      </c>
      <c r="I30" s="1" t="s">
        <v>232</v>
      </c>
      <c r="J30" s="1"/>
      <c r="K30" s="1" t="s">
        <v>153</v>
      </c>
      <c r="L30" s="1" t="s">
        <v>354</v>
      </c>
      <c r="M30" s="1" t="s">
        <v>215</v>
      </c>
      <c r="N30" s="1" t="s">
        <v>337</v>
      </c>
      <c r="O30" s="1"/>
      <c r="P30" s="1" t="s">
        <v>153</v>
      </c>
      <c r="Q30" s="1" t="s">
        <v>635</v>
      </c>
      <c r="R30" s="1" t="s">
        <v>338</v>
      </c>
      <c r="S30" s="1" t="s">
        <v>234</v>
      </c>
      <c r="T30" s="1"/>
      <c r="U30" s="1" t="s">
        <v>153</v>
      </c>
      <c r="V30" s="1" t="s">
        <v>355</v>
      </c>
      <c r="W30" s="1" t="s">
        <v>356</v>
      </c>
      <c r="X30" s="1" t="s">
        <v>357</v>
      </c>
    </row>
    <row r="31" spans="1:24" x14ac:dyDescent="0.2">
      <c r="A31" s="1" t="s">
        <v>154</v>
      </c>
      <c r="B31" s="1" t="s">
        <v>636</v>
      </c>
      <c r="C31" s="1" t="s">
        <v>214</v>
      </c>
      <c r="D31" s="1" t="s">
        <v>282</v>
      </c>
      <c r="E31" s="1"/>
      <c r="F31" s="1" t="s">
        <v>154</v>
      </c>
      <c r="G31" s="1" t="s">
        <v>637</v>
      </c>
      <c r="H31" s="1" t="s">
        <v>335</v>
      </c>
      <c r="I31" s="1" t="s">
        <v>238</v>
      </c>
      <c r="J31" s="1"/>
      <c r="K31" s="1" t="s">
        <v>154</v>
      </c>
      <c r="L31" s="1" t="s">
        <v>358</v>
      </c>
      <c r="M31" s="1" t="s">
        <v>222</v>
      </c>
      <c r="N31" s="1" t="s">
        <v>337</v>
      </c>
      <c r="O31" s="1"/>
      <c r="P31" s="1" t="s">
        <v>154</v>
      </c>
      <c r="Q31" s="1" t="s">
        <v>638</v>
      </c>
      <c r="R31" s="1" t="s">
        <v>338</v>
      </c>
      <c r="S31" s="1" t="s">
        <v>240</v>
      </c>
      <c r="T31" s="1"/>
      <c r="U31" s="1" t="s">
        <v>154</v>
      </c>
      <c r="V31" s="1" t="s">
        <v>359</v>
      </c>
      <c r="W31" s="1" t="s">
        <v>360</v>
      </c>
      <c r="X31" s="1" t="s">
        <v>361</v>
      </c>
    </row>
    <row r="32" spans="1:24" x14ac:dyDescent="0.2">
      <c r="A32" s="1" t="s">
        <v>155</v>
      </c>
      <c r="B32" s="1" t="s">
        <v>639</v>
      </c>
      <c r="C32" s="1" t="s">
        <v>214</v>
      </c>
      <c r="D32" s="1" t="s">
        <v>287</v>
      </c>
      <c r="E32" s="1"/>
      <c r="F32" s="1" t="s">
        <v>155</v>
      </c>
      <c r="G32" s="1" t="s">
        <v>640</v>
      </c>
      <c r="H32" s="1" t="s">
        <v>335</v>
      </c>
      <c r="I32" s="1" t="s">
        <v>244</v>
      </c>
      <c r="J32" s="1"/>
      <c r="K32" s="1" t="s">
        <v>155</v>
      </c>
      <c r="L32" s="1" t="s">
        <v>362</v>
      </c>
      <c r="M32" s="1" t="s">
        <v>240</v>
      </c>
      <c r="N32" s="1" t="s">
        <v>337</v>
      </c>
      <c r="O32" s="1"/>
      <c r="P32" s="1" t="s">
        <v>155</v>
      </c>
      <c r="Q32" s="1" t="s">
        <v>641</v>
      </c>
      <c r="R32" s="1" t="s">
        <v>338</v>
      </c>
      <c r="S32" s="1" t="s">
        <v>221</v>
      </c>
      <c r="T32" s="1"/>
      <c r="U32" s="1" t="s">
        <v>155</v>
      </c>
      <c r="V32" s="1" t="s">
        <v>363</v>
      </c>
      <c r="W32" s="1" t="s">
        <v>364</v>
      </c>
      <c r="X32" s="1" t="s">
        <v>365</v>
      </c>
    </row>
    <row r="33" spans="1:24" x14ac:dyDescent="0.2">
      <c r="A33" s="1" t="s">
        <v>156</v>
      </c>
      <c r="B33" s="1" t="s">
        <v>642</v>
      </c>
      <c r="C33" s="1" t="s">
        <v>214</v>
      </c>
      <c r="D33" s="1" t="s">
        <v>292</v>
      </c>
      <c r="E33" s="1"/>
      <c r="F33" s="1" t="s">
        <v>156</v>
      </c>
      <c r="G33" s="1" t="s">
        <v>643</v>
      </c>
      <c r="H33" s="1" t="s">
        <v>335</v>
      </c>
      <c r="I33" s="1" t="s">
        <v>249</v>
      </c>
      <c r="J33" s="1"/>
      <c r="K33" s="1" t="s">
        <v>156</v>
      </c>
      <c r="L33" s="1" t="s">
        <v>366</v>
      </c>
      <c r="M33" s="1" t="s">
        <v>251</v>
      </c>
      <c r="N33" s="1" t="s">
        <v>337</v>
      </c>
      <c r="O33" s="1"/>
      <c r="P33" s="1" t="s">
        <v>156</v>
      </c>
      <c r="Q33" s="1" t="s">
        <v>644</v>
      </c>
      <c r="R33" s="1" t="s">
        <v>338</v>
      </c>
      <c r="S33" s="1" t="s">
        <v>251</v>
      </c>
      <c r="T33" s="1"/>
      <c r="U33" s="1" t="s">
        <v>156</v>
      </c>
      <c r="V33" s="1" t="s">
        <v>367</v>
      </c>
      <c r="W33" s="1" t="s">
        <v>368</v>
      </c>
      <c r="X33" s="1" t="s">
        <v>369</v>
      </c>
    </row>
    <row r="34" spans="1:24" x14ac:dyDescent="0.2">
      <c r="A34" s="1" t="s">
        <v>157</v>
      </c>
      <c r="B34" s="1" t="s">
        <v>645</v>
      </c>
      <c r="C34" s="1" t="s">
        <v>234</v>
      </c>
      <c r="D34" s="1" t="s">
        <v>204</v>
      </c>
      <c r="E34" s="1"/>
      <c r="F34" s="1" t="s">
        <v>157</v>
      </c>
      <c r="G34" s="1" t="s">
        <v>646</v>
      </c>
      <c r="H34" s="1" t="s">
        <v>335</v>
      </c>
      <c r="I34" s="1" t="s">
        <v>255</v>
      </c>
      <c r="J34" s="1"/>
      <c r="K34" s="1" t="s">
        <v>157</v>
      </c>
      <c r="L34" s="1" t="s">
        <v>370</v>
      </c>
      <c r="M34" s="1" t="s">
        <v>203</v>
      </c>
      <c r="N34" s="1" t="s">
        <v>371</v>
      </c>
      <c r="O34" s="1"/>
      <c r="P34" s="1" t="s">
        <v>157</v>
      </c>
      <c r="Q34" s="1" t="s">
        <v>647</v>
      </c>
      <c r="R34" s="1" t="s">
        <v>372</v>
      </c>
      <c r="S34" s="1" t="s">
        <v>203</v>
      </c>
      <c r="T34" s="1"/>
      <c r="U34" s="1" t="s">
        <v>157</v>
      </c>
      <c r="V34" s="1" t="s">
        <v>373</v>
      </c>
      <c r="W34" s="1" t="s">
        <v>374</v>
      </c>
      <c r="X34" s="1" t="s">
        <v>375</v>
      </c>
    </row>
    <row r="35" spans="1:24" x14ac:dyDescent="0.2">
      <c r="A35" s="1" t="s">
        <v>158</v>
      </c>
      <c r="B35" s="1" t="s">
        <v>648</v>
      </c>
      <c r="C35" s="1" t="s">
        <v>234</v>
      </c>
      <c r="D35" s="1" t="s">
        <v>212</v>
      </c>
      <c r="E35" s="1"/>
      <c r="F35" s="1" t="s">
        <v>158</v>
      </c>
      <c r="G35" s="1" t="s">
        <v>649</v>
      </c>
      <c r="H35" s="1" t="s">
        <v>335</v>
      </c>
      <c r="I35" s="1" t="s">
        <v>262</v>
      </c>
      <c r="J35" s="1"/>
      <c r="K35" s="1" t="s">
        <v>158</v>
      </c>
      <c r="L35" s="1" t="s">
        <v>376</v>
      </c>
      <c r="M35" s="1" t="s">
        <v>214</v>
      </c>
      <c r="N35" s="1" t="s">
        <v>371</v>
      </c>
      <c r="O35" s="1"/>
      <c r="P35" s="1" t="s">
        <v>158</v>
      </c>
      <c r="Q35" s="1" t="s">
        <v>650</v>
      </c>
      <c r="R35" s="1" t="s">
        <v>372</v>
      </c>
      <c r="S35" s="1" t="s">
        <v>215</v>
      </c>
      <c r="T35" s="1"/>
      <c r="U35" s="1" t="s">
        <v>158</v>
      </c>
      <c r="V35" s="1" t="s">
        <v>377</v>
      </c>
      <c r="W35" s="1" t="s">
        <v>378</v>
      </c>
      <c r="X35" s="1" t="s">
        <v>379</v>
      </c>
    </row>
    <row r="36" spans="1:24" x14ac:dyDescent="0.2">
      <c r="A36" s="1" t="s">
        <v>159</v>
      </c>
      <c r="B36" s="1" t="s">
        <v>651</v>
      </c>
      <c r="C36" s="1" t="s">
        <v>234</v>
      </c>
      <c r="D36" s="1" t="s">
        <v>219</v>
      </c>
      <c r="E36" s="1"/>
      <c r="F36" s="1" t="s">
        <v>159</v>
      </c>
      <c r="G36" s="1" t="s">
        <v>652</v>
      </c>
      <c r="H36" s="1" t="s">
        <v>335</v>
      </c>
      <c r="I36" s="1" t="s">
        <v>267</v>
      </c>
      <c r="J36" s="1"/>
      <c r="K36" s="1" t="s">
        <v>159</v>
      </c>
      <c r="L36" s="1" t="s">
        <v>380</v>
      </c>
      <c r="M36" s="1" t="s">
        <v>221</v>
      </c>
      <c r="N36" s="1" t="s">
        <v>371</v>
      </c>
      <c r="O36" s="1"/>
      <c r="P36" s="1" t="s">
        <v>159</v>
      </c>
      <c r="Q36" s="1" t="s">
        <v>653</v>
      </c>
      <c r="R36" s="1" t="s">
        <v>372</v>
      </c>
      <c r="S36" s="1" t="s">
        <v>222</v>
      </c>
      <c r="T36" s="1"/>
      <c r="U36" s="1" t="s">
        <v>159</v>
      </c>
      <c r="V36" s="1" t="s">
        <v>381</v>
      </c>
      <c r="W36" s="1" t="s">
        <v>382</v>
      </c>
      <c r="X36" s="1" t="s">
        <v>383</v>
      </c>
    </row>
    <row r="37" spans="1:24" x14ac:dyDescent="0.2">
      <c r="A37" s="1" t="s">
        <v>160</v>
      </c>
      <c r="B37" s="1" t="s">
        <v>654</v>
      </c>
      <c r="C37" s="1" t="s">
        <v>234</v>
      </c>
      <c r="D37" s="1" t="s">
        <v>226</v>
      </c>
      <c r="E37" s="1"/>
      <c r="F37" s="1" t="s">
        <v>160</v>
      </c>
      <c r="G37" s="1" t="s">
        <v>655</v>
      </c>
      <c r="H37" s="1" t="s">
        <v>335</v>
      </c>
      <c r="I37" s="1" t="s">
        <v>272</v>
      </c>
      <c r="J37" s="1"/>
      <c r="K37" s="1" t="s">
        <v>160</v>
      </c>
      <c r="L37" s="1" t="s">
        <v>384</v>
      </c>
      <c r="M37" s="1" t="s">
        <v>228</v>
      </c>
      <c r="N37" s="1" t="s">
        <v>371</v>
      </c>
      <c r="O37" s="1"/>
      <c r="P37" s="1" t="s">
        <v>160</v>
      </c>
      <c r="Q37" s="1" t="s">
        <v>656</v>
      </c>
      <c r="R37" s="1" t="s">
        <v>372</v>
      </c>
      <c r="S37" s="1" t="s">
        <v>214</v>
      </c>
      <c r="T37" s="1"/>
      <c r="U37" s="1" t="s">
        <v>160</v>
      </c>
      <c r="V37" s="1" t="s">
        <v>385</v>
      </c>
      <c r="W37" s="1" t="s">
        <v>386</v>
      </c>
      <c r="X37" s="1" t="s">
        <v>387</v>
      </c>
    </row>
    <row r="38" spans="1:24" x14ac:dyDescent="0.2">
      <c r="A38" s="1" t="s">
        <v>161</v>
      </c>
      <c r="B38" s="1" t="s">
        <v>657</v>
      </c>
      <c r="C38" s="1" t="s">
        <v>234</v>
      </c>
      <c r="D38" s="1" t="s">
        <v>232</v>
      </c>
      <c r="E38" s="1"/>
      <c r="F38" s="1" t="s">
        <v>161</v>
      </c>
      <c r="G38" s="1" t="s">
        <v>658</v>
      </c>
      <c r="H38" s="1" t="s">
        <v>335</v>
      </c>
      <c r="I38" s="1" t="s">
        <v>277</v>
      </c>
      <c r="J38" s="1"/>
      <c r="K38" s="1" t="s">
        <v>161</v>
      </c>
      <c r="L38" s="1" t="s">
        <v>388</v>
      </c>
      <c r="M38" s="1" t="s">
        <v>215</v>
      </c>
      <c r="N38" s="1" t="s">
        <v>371</v>
      </c>
      <c r="O38" s="1"/>
      <c r="P38" s="1" t="s">
        <v>161</v>
      </c>
      <c r="Q38" s="1" t="s">
        <v>659</v>
      </c>
      <c r="R38" s="1" t="s">
        <v>372</v>
      </c>
      <c r="S38" s="1" t="s">
        <v>234</v>
      </c>
      <c r="T38" s="1"/>
      <c r="U38" s="1" t="s">
        <v>161</v>
      </c>
      <c r="V38" s="1" t="s">
        <v>389</v>
      </c>
      <c r="W38" s="1" t="s">
        <v>390</v>
      </c>
      <c r="X38" s="1" t="s">
        <v>391</v>
      </c>
    </row>
    <row r="39" spans="1:24" x14ac:dyDescent="0.2">
      <c r="A39" s="1" t="s">
        <v>162</v>
      </c>
      <c r="B39" s="1" t="s">
        <v>660</v>
      </c>
      <c r="C39" s="1" t="s">
        <v>234</v>
      </c>
      <c r="D39" s="1" t="s">
        <v>238</v>
      </c>
      <c r="E39" s="1"/>
      <c r="F39" s="1" t="s">
        <v>162</v>
      </c>
      <c r="G39" s="1" t="s">
        <v>661</v>
      </c>
      <c r="H39" s="1" t="s">
        <v>335</v>
      </c>
      <c r="I39" s="1" t="s">
        <v>282</v>
      </c>
      <c r="J39" s="1"/>
      <c r="K39" s="1" t="s">
        <v>162</v>
      </c>
      <c r="L39" s="1" t="s">
        <v>392</v>
      </c>
      <c r="M39" s="1" t="s">
        <v>222</v>
      </c>
      <c r="N39" s="1" t="s">
        <v>371</v>
      </c>
      <c r="O39" s="1"/>
      <c r="P39" s="1" t="s">
        <v>162</v>
      </c>
      <c r="Q39" s="1" t="s">
        <v>662</v>
      </c>
      <c r="R39" s="1" t="s">
        <v>372</v>
      </c>
      <c r="S39" s="1" t="s">
        <v>240</v>
      </c>
      <c r="T39" s="1"/>
      <c r="U39" s="1" t="s">
        <v>162</v>
      </c>
      <c r="V39" s="1" t="s">
        <v>393</v>
      </c>
      <c r="W39" s="1" t="s">
        <v>394</v>
      </c>
      <c r="X39" s="1" t="s">
        <v>395</v>
      </c>
    </row>
    <row r="40" spans="1:24" x14ac:dyDescent="0.2">
      <c r="A40" s="1" t="s">
        <v>163</v>
      </c>
      <c r="B40" s="1" t="s">
        <v>663</v>
      </c>
      <c r="C40" s="1" t="s">
        <v>234</v>
      </c>
      <c r="D40" s="1" t="s">
        <v>244</v>
      </c>
      <c r="E40" s="1"/>
      <c r="F40" s="1" t="s">
        <v>163</v>
      </c>
      <c r="G40" s="1" t="s">
        <v>664</v>
      </c>
      <c r="H40" s="1" t="s">
        <v>335</v>
      </c>
      <c r="I40" s="1" t="s">
        <v>287</v>
      </c>
      <c r="J40" s="1"/>
      <c r="K40" s="1" t="s">
        <v>163</v>
      </c>
      <c r="L40" s="1" t="s">
        <v>396</v>
      </c>
      <c r="M40" s="1" t="s">
        <v>240</v>
      </c>
      <c r="N40" s="1" t="s">
        <v>371</v>
      </c>
      <c r="O40" s="1"/>
      <c r="P40" s="1" t="s">
        <v>163</v>
      </c>
      <c r="Q40" s="1" t="s">
        <v>665</v>
      </c>
      <c r="R40" s="1" t="s">
        <v>372</v>
      </c>
      <c r="S40" s="1" t="s">
        <v>221</v>
      </c>
      <c r="T40" s="1"/>
      <c r="U40" s="1" t="s">
        <v>163</v>
      </c>
      <c r="V40" s="1" t="s">
        <v>397</v>
      </c>
      <c r="W40" s="1" t="s">
        <v>398</v>
      </c>
      <c r="X40" s="1" t="s">
        <v>399</v>
      </c>
    </row>
    <row r="41" spans="1:24" x14ac:dyDescent="0.2">
      <c r="A41" s="1" t="s">
        <v>164</v>
      </c>
      <c r="B41" s="1" t="s">
        <v>666</v>
      </c>
      <c r="C41" s="1" t="s">
        <v>234</v>
      </c>
      <c r="D41" s="1" t="s">
        <v>249</v>
      </c>
      <c r="E41" s="1"/>
      <c r="F41" s="1" t="s">
        <v>164</v>
      </c>
      <c r="G41" s="1" t="s">
        <v>667</v>
      </c>
      <c r="H41" s="1" t="s">
        <v>335</v>
      </c>
      <c r="I41" s="1" t="s">
        <v>292</v>
      </c>
      <c r="J41" s="1"/>
      <c r="K41" s="1" t="s">
        <v>164</v>
      </c>
      <c r="L41" s="1" t="s">
        <v>400</v>
      </c>
      <c r="M41" s="1" t="s">
        <v>251</v>
      </c>
      <c r="N41" s="1" t="s">
        <v>371</v>
      </c>
      <c r="O41" s="1"/>
      <c r="P41" s="1" t="s">
        <v>164</v>
      </c>
      <c r="Q41" s="1" t="s">
        <v>668</v>
      </c>
      <c r="R41" s="1" t="s">
        <v>372</v>
      </c>
      <c r="S41" s="1" t="s">
        <v>251</v>
      </c>
      <c r="T41" s="1"/>
      <c r="U41" s="1" t="s">
        <v>164</v>
      </c>
      <c r="V41" s="1" t="s">
        <v>401</v>
      </c>
      <c r="W41" s="1" t="s">
        <v>402</v>
      </c>
      <c r="X41" s="1" t="s">
        <v>403</v>
      </c>
    </row>
    <row r="42" spans="1:24" x14ac:dyDescent="0.2">
      <c r="A42" s="1" t="s">
        <v>165</v>
      </c>
      <c r="B42" s="1" t="s">
        <v>669</v>
      </c>
      <c r="C42" s="1" t="s">
        <v>234</v>
      </c>
      <c r="D42" s="1" t="s">
        <v>255</v>
      </c>
      <c r="E42" s="1"/>
      <c r="F42" s="1" t="s">
        <v>165</v>
      </c>
      <c r="G42" s="1" t="s">
        <v>670</v>
      </c>
      <c r="H42" s="1" t="s">
        <v>335</v>
      </c>
      <c r="I42" s="1" t="s">
        <v>297</v>
      </c>
      <c r="J42" s="1"/>
      <c r="K42" s="1" t="s">
        <v>165</v>
      </c>
      <c r="L42" s="1" t="s">
        <v>404</v>
      </c>
      <c r="M42" s="1" t="s">
        <v>203</v>
      </c>
      <c r="N42" s="1" t="s">
        <v>405</v>
      </c>
      <c r="O42" s="1"/>
      <c r="P42" s="1" t="s">
        <v>165</v>
      </c>
      <c r="Q42" s="1" t="s">
        <v>671</v>
      </c>
      <c r="R42" s="1" t="s">
        <v>406</v>
      </c>
      <c r="S42" s="1" t="s">
        <v>203</v>
      </c>
      <c r="T42" s="1"/>
      <c r="U42" s="1" t="s">
        <v>165</v>
      </c>
      <c r="V42" s="1" t="s">
        <v>407</v>
      </c>
      <c r="W42" s="1" t="s">
        <v>408</v>
      </c>
      <c r="X42" s="1" t="s">
        <v>409</v>
      </c>
    </row>
    <row r="43" spans="1:24" x14ac:dyDescent="0.2">
      <c r="A43" s="1" t="s">
        <v>166</v>
      </c>
      <c r="B43" s="1" t="s">
        <v>672</v>
      </c>
      <c r="C43" s="1" t="s">
        <v>234</v>
      </c>
      <c r="D43" s="1" t="s">
        <v>262</v>
      </c>
      <c r="E43" s="1"/>
      <c r="F43" s="1" t="s">
        <v>166</v>
      </c>
      <c r="G43" s="1" t="s">
        <v>673</v>
      </c>
      <c r="H43" s="1" t="s">
        <v>335</v>
      </c>
      <c r="I43" s="1" t="s">
        <v>304</v>
      </c>
      <c r="J43" s="1"/>
      <c r="K43" s="1" t="s">
        <v>166</v>
      </c>
      <c r="L43" s="1" t="s">
        <v>410</v>
      </c>
      <c r="M43" s="1" t="s">
        <v>214</v>
      </c>
      <c r="N43" s="1" t="s">
        <v>405</v>
      </c>
      <c r="O43" s="1"/>
      <c r="P43" s="1" t="s">
        <v>166</v>
      </c>
      <c r="Q43" s="1" t="s">
        <v>674</v>
      </c>
      <c r="R43" s="1" t="s">
        <v>406</v>
      </c>
      <c r="S43" s="1" t="s">
        <v>215</v>
      </c>
      <c r="T43" s="1"/>
      <c r="U43" s="1" t="s">
        <v>166</v>
      </c>
      <c r="V43" s="1" t="s">
        <v>411</v>
      </c>
      <c r="W43" s="1" t="s">
        <v>412</v>
      </c>
      <c r="X43" s="1" t="s">
        <v>413</v>
      </c>
    </row>
    <row r="44" spans="1:24" x14ac:dyDescent="0.2">
      <c r="A44" s="1" t="s">
        <v>167</v>
      </c>
      <c r="B44" s="1" t="s">
        <v>675</v>
      </c>
      <c r="C44" s="1" t="s">
        <v>234</v>
      </c>
      <c r="D44" s="1" t="s">
        <v>267</v>
      </c>
      <c r="E44" s="1"/>
      <c r="F44" s="1" t="s">
        <v>167</v>
      </c>
      <c r="G44" s="1" t="s">
        <v>676</v>
      </c>
      <c r="H44" s="1" t="s">
        <v>335</v>
      </c>
      <c r="I44" s="1" t="s">
        <v>309</v>
      </c>
      <c r="J44" s="1"/>
      <c r="K44" s="1" t="s">
        <v>167</v>
      </c>
      <c r="L44" s="1" t="s">
        <v>414</v>
      </c>
      <c r="M44" s="1" t="s">
        <v>221</v>
      </c>
      <c r="N44" s="1" t="s">
        <v>405</v>
      </c>
      <c r="O44" s="1"/>
      <c r="P44" s="1" t="s">
        <v>167</v>
      </c>
      <c r="Q44" s="1" t="s">
        <v>677</v>
      </c>
      <c r="R44" s="1" t="s">
        <v>406</v>
      </c>
      <c r="S44" s="1" t="s">
        <v>222</v>
      </c>
      <c r="T44" s="1"/>
      <c r="U44" s="1" t="s">
        <v>167</v>
      </c>
      <c r="V44" s="1" t="s">
        <v>415</v>
      </c>
      <c r="W44" s="1" t="s">
        <v>416</v>
      </c>
      <c r="X44" s="1" t="s">
        <v>417</v>
      </c>
    </row>
    <row r="45" spans="1:24" x14ac:dyDescent="0.2">
      <c r="A45" s="1" t="s">
        <v>168</v>
      </c>
      <c r="B45" s="1" t="s">
        <v>678</v>
      </c>
      <c r="C45" s="1" t="s">
        <v>234</v>
      </c>
      <c r="D45" s="1" t="s">
        <v>272</v>
      </c>
      <c r="E45" s="1"/>
      <c r="F45" s="1" t="s">
        <v>168</v>
      </c>
      <c r="G45" s="1" t="s">
        <v>679</v>
      </c>
      <c r="H45" s="1" t="s">
        <v>335</v>
      </c>
      <c r="I45" s="1" t="s">
        <v>314</v>
      </c>
      <c r="J45" s="1"/>
      <c r="K45" s="1" t="s">
        <v>168</v>
      </c>
      <c r="L45" s="1" t="s">
        <v>418</v>
      </c>
      <c r="M45" s="1" t="s">
        <v>228</v>
      </c>
      <c r="N45" s="1" t="s">
        <v>405</v>
      </c>
      <c r="O45" s="1"/>
      <c r="P45" s="1" t="s">
        <v>168</v>
      </c>
      <c r="Q45" s="1" t="s">
        <v>680</v>
      </c>
      <c r="R45" s="1" t="s">
        <v>406</v>
      </c>
      <c r="S45" s="1" t="s">
        <v>214</v>
      </c>
      <c r="T45" s="1"/>
      <c r="U45" s="1" t="s">
        <v>168</v>
      </c>
      <c r="V45" s="1" t="s">
        <v>419</v>
      </c>
      <c r="W45" s="1" t="s">
        <v>420</v>
      </c>
      <c r="X45" s="1" t="s">
        <v>421</v>
      </c>
    </row>
    <row r="46" spans="1:24" x14ac:dyDescent="0.2">
      <c r="A46" s="1" t="s">
        <v>169</v>
      </c>
      <c r="B46" s="1" t="s">
        <v>681</v>
      </c>
      <c r="C46" s="1" t="s">
        <v>234</v>
      </c>
      <c r="D46" s="1" t="s">
        <v>277</v>
      </c>
      <c r="E46" s="1"/>
      <c r="F46" s="1" t="s">
        <v>169</v>
      </c>
      <c r="G46" s="1" t="s">
        <v>682</v>
      </c>
      <c r="H46" s="1" t="s">
        <v>214</v>
      </c>
      <c r="I46" s="1" t="s">
        <v>297</v>
      </c>
      <c r="J46" s="1"/>
      <c r="K46" s="1" t="s">
        <v>169</v>
      </c>
      <c r="L46" s="1" t="s">
        <v>422</v>
      </c>
      <c r="M46" s="1" t="s">
        <v>215</v>
      </c>
      <c r="N46" s="1" t="s">
        <v>405</v>
      </c>
      <c r="O46" s="1"/>
      <c r="P46" s="1" t="s">
        <v>169</v>
      </c>
      <c r="Q46" s="1" t="s">
        <v>683</v>
      </c>
      <c r="R46" s="1" t="s">
        <v>406</v>
      </c>
      <c r="S46" s="1" t="s">
        <v>234</v>
      </c>
      <c r="T46" s="1"/>
      <c r="U46" s="1" t="s">
        <v>169</v>
      </c>
      <c r="V46" s="1" t="s">
        <v>423</v>
      </c>
      <c r="W46" s="1" t="s">
        <v>424</v>
      </c>
      <c r="X46" s="1" t="s">
        <v>425</v>
      </c>
    </row>
    <row r="47" spans="1:24" x14ac:dyDescent="0.2">
      <c r="A47" s="1" t="s">
        <v>170</v>
      </c>
      <c r="B47" s="1" t="s">
        <v>684</v>
      </c>
      <c r="C47" s="1" t="s">
        <v>234</v>
      </c>
      <c r="D47" s="1" t="s">
        <v>282</v>
      </c>
      <c r="E47" s="1"/>
      <c r="F47" s="1" t="s">
        <v>170</v>
      </c>
      <c r="G47" s="1" t="s">
        <v>685</v>
      </c>
      <c r="H47" s="1" t="s">
        <v>214</v>
      </c>
      <c r="I47" s="1" t="s">
        <v>304</v>
      </c>
      <c r="J47" s="1"/>
      <c r="K47" s="1" t="s">
        <v>170</v>
      </c>
      <c r="L47" s="1" t="s">
        <v>426</v>
      </c>
      <c r="M47" s="1" t="s">
        <v>222</v>
      </c>
      <c r="N47" s="1" t="s">
        <v>405</v>
      </c>
      <c r="O47" s="1"/>
      <c r="P47" s="1" t="s">
        <v>170</v>
      </c>
      <c r="Q47" s="1" t="s">
        <v>686</v>
      </c>
      <c r="R47" s="1" t="s">
        <v>406</v>
      </c>
      <c r="S47" s="1" t="s">
        <v>240</v>
      </c>
      <c r="T47" s="1"/>
      <c r="U47" s="1" t="s">
        <v>170</v>
      </c>
      <c r="V47" s="1" t="s">
        <v>427</v>
      </c>
      <c r="W47" s="1" t="s">
        <v>428</v>
      </c>
      <c r="X47" s="1" t="s">
        <v>429</v>
      </c>
    </row>
    <row r="48" spans="1:24" x14ac:dyDescent="0.2">
      <c r="A48" s="1" t="s">
        <v>171</v>
      </c>
      <c r="B48" s="1" t="s">
        <v>687</v>
      </c>
      <c r="C48" s="1" t="s">
        <v>234</v>
      </c>
      <c r="D48" s="1" t="s">
        <v>287</v>
      </c>
      <c r="E48" s="1"/>
      <c r="F48" s="1" t="s">
        <v>171</v>
      </c>
      <c r="G48" s="1" t="s">
        <v>688</v>
      </c>
      <c r="H48" s="1" t="s">
        <v>214</v>
      </c>
      <c r="I48" s="1" t="s">
        <v>309</v>
      </c>
      <c r="J48" s="1"/>
      <c r="K48" s="1" t="s">
        <v>171</v>
      </c>
      <c r="L48" s="1" t="s">
        <v>430</v>
      </c>
      <c r="M48" s="1" t="s">
        <v>240</v>
      </c>
      <c r="N48" s="1" t="s">
        <v>405</v>
      </c>
      <c r="O48" s="1"/>
      <c r="P48" s="1" t="s">
        <v>171</v>
      </c>
      <c r="Q48" s="1" t="s">
        <v>689</v>
      </c>
      <c r="R48" s="1" t="s">
        <v>406</v>
      </c>
      <c r="S48" s="1" t="s">
        <v>221</v>
      </c>
      <c r="T48" s="1"/>
      <c r="U48" s="1" t="s">
        <v>171</v>
      </c>
      <c r="V48" s="1" t="s">
        <v>431</v>
      </c>
      <c r="W48" s="1" t="s">
        <v>432</v>
      </c>
      <c r="X48" s="1" t="s">
        <v>433</v>
      </c>
    </row>
    <row r="49" spans="1:24" x14ac:dyDescent="0.2">
      <c r="A49" s="1" t="s">
        <v>172</v>
      </c>
      <c r="B49" s="1" t="s">
        <v>690</v>
      </c>
      <c r="C49" s="1" t="s">
        <v>234</v>
      </c>
      <c r="D49" s="1" t="s">
        <v>292</v>
      </c>
      <c r="E49" s="1"/>
      <c r="F49" s="1" t="s">
        <v>172</v>
      </c>
      <c r="G49" s="1" t="s">
        <v>691</v>
      </c>
      <c r="H49" s="1" t="s">
        <v>214</v>
      </c>
      <c r="I49" s="1" t="s">
        <v>314</v>
      </c>
      <c r="J49" s="1"/>
      <c r="K49" s="1" t="s">
        <v>172</v>
      </c>
      <c r="L49" s="1" t="s">
        <v>434</v>
      </c>
      <c r="M49" s="1" t="s">
        <v>251</v>
      </c>
      <c r="N49" s="1" t="s">
        <v>405</v>
      </c>
      <c r="O49" s="1"/>
      <c r="P49" s="1" t="s">
        <v>172</v>
      </c>
      <c r="Q49" s="1" t="s">
        <v>692</v>
      </c>
      <c r="R49" s="1" t="s">
        <v>406</v>
      </c>
      <c r="S49" s="1" t="s">
        <v>251</v>
      </c>
      <c r="T49" s="1"/>
      <c r="U49" s="1" t="s">
        <v>172</v>
      </c>
      <c r="V49" s="1" t="s">
        <v>435</v>
      </c>
      <c r="W49" s="1" t="s">
        <v>436</v>
      </c>
      <c r="X49" s="1" t="s">
        <v>437</v>
      </c>
    </row>
    <row r="50" spans="1:24" x14ac:dyDescent="0.2">
      <c r="A50" s="1" t="s">
        <v>173</v>
      </c>
      <c r="B50" s="1" t="s">
        <v>693</v>
      </c>
      <c r="C50" s="1" t="s">
        <v>228</v>
      </c>
      <c r="D50" s="1" t="s">
        <v>204</v>
      </c>
      <c r="E50" s="1"/>
      <c r="F50" s="1" t="s">
        <v>173</v>
      </c>
      <c r="G50" s="1" t="s">
        <v>694</v>
      </c>
      <c r="H50" s="1" t="s">
        <v>438</v>
      </c>
      <c r="I50" s="1" t="s">
        <v>204</v>
      </c>
      <c r="J50" s="1"/>
      <c r="K50" s="1" t="s">
        <v>173</v>
      </c>
      <c r="L50" s="1" t="s">
        <v>439</v>
      </c>
      <c r="M50" s="1" t="s">
        <v>203</v>
      </c>
      <c r="N50" s="1" t="s">
        <v>440</v>
      </c>
      <c r="O50" s="1"/>
      <c r="P50" s="1" t="s">
        <v>173</v>
      </c>
      <c r="Q50" s="1" t="s">
        <v>695</v>
      </c>
      <c r="R50" s="1" t="s">
        <v>441</v>
      </c>
      <c r="S50" s="1" t="s">
        <v>203</v>
      </c>
      <c r="T50" s="1"/>
      <c r="U50" s="1" t="s">
        <v>173</v>
      </c>
      <c r="V50" s="1" t="s">
        <v>442</v>
      </c>
      <c r="W50" s="1" t="s">
        <v>437</v>
      </c>
      <c r="X50" s="1" t="s">
        <v>436</v>
      </c>
    </row>
    <row r="51" spans="1:24" x14ac:dyDescent="0.2">
      <c r="A51" s="1" t="s">
        <v>174</v>
      </c>
      <c r="B51" s="1" t="s">
        <v>696</v>
      </c>
      <c r="C51" s="1" t="s">
        <v>228</v>
      </c>
      <c r="D51" s="1" t="s">
        <v>212</v>
      </c>
      <c r="E51" s="1"/>
      <c r="F51" s="1" t="s">
        <v>174</v>
      </c>
      <c r="G51" s="1" t="s">
        <v>697</v>
      </c>
      <c r="H51" s="1" t="s">
        <v>438</v>
      </c>
      <c r="I51" s="1" t="s">
        <v>212</v>
      </c>
      <c r="J51" s="1"/>
      <c r="K51" s="1" t="s">
        <v>174</v>
      </c>
      <c r="L51" s="1" t="s">
        <v>443</v>
      </c>
      <c r="M51" s="1" t="s">
        <v>214</v>
      </c>
      <c r="N51" s="1" t="s">
        <v>440</v>
      </c>
      <c r="O51" s="1"/>
      <c r="P51" s="1" t="s">
        <v>174</v>
      </c>
      <c r="Q51" s="1" t="s">
        <v>698</v>
      </c>
      <c r="R51" s="1" t="s">
        <v>441</v>
      </c>
      <c r="S51" s="1" t="s">
        <v>215</v>
      </c>
      <c r="T51" s="1"/>
      <c r="U51" s="1" t="s">
        <v>174</v>
      </c>
      <c r="V51" s="1" t="s">
        <v>444</v>
      </c>
      <c r="W51" s="1" t="s">
        <v>433</v>
      </c>
      <c r="X51" s="1" t="s">
        <v>432</v>
      </c>
    </row>
    <row r="52" spans="1:24" x14ac:dyDescent="0.2">
      <c r="A52" s="1" t="s">
        <v>175</v>
      </c>
      <c r="B52" s="1" t="s">
        <v>699</v>
      </c>
      <c r="C52" s="1" t="s">
        <v>228</v>
      </c>
      <c r="D52" s="1" t="s">
        <v>219</v>
      </c>
      <c r="E52" s="1"/>
      <c r="F52" s="1" t="s">
        <v>175</v>
      </c>
      <c r="G52" s="1" t="s">
        <v>700</v>
      </c>
      <c r="H52" s="1" t="s">
        <v>438</v>
      </c>
      <c r="I52" s="1" t="s">
        <v>219</v>
      </c>
      <c r="J52" s="1"/>
      <c r="K52" s="1" t="s">
        <v>175</v>
      </c>
      <c r="L52" s="1" t="s">
        <v>445</v>
      </c>
      <c r="M52" s="1" t="s">
        <v>221</v>
      </c>
      <c r="N52" s="1" t="s">
        <v>440</v>
      </c>
      <c r="O52" s="1"/>
      <c r="P52" s="1" t="s">
        <v>175</v>
      </c>
      <c r="Q52" s="1" t="s">
        <v>701</v>
      </c>
      <c r="R52" s="1" t="s">
        <v>441</v>
      </c>
      <c r="S52" s="1" t="s">
        <v>222</v>
      </c>
      <c r="T52" s="1"/>
      <c r="U52" s="1" t="s">
        <v>175</v>
      </c>
      <c r="V52" s="1" t="s">
        <v>446</v>
      </c>
      <c r="W52" s="1" t="s">
        <v>429</v>
      </c>
      <c r="X52" s="1" t="s">
        <v>428</v>
      </c>
    </row>
    <row r="53" spans="1:24" x14ac:dyDescent="0.2">
      <c r="A53" s="1" t="s">
        <v>176</v>
      </c>
      <c r="B53" s="1" t="s">
        <v>702</v>
      </c>
      <c r="C53" s="1" t="s">
        <v>228</v>
      </c>
      <c r="D53" s="1" t="s">
        <v>226</v>
      </c>
      <c r="E53" s="1"/>
      <c r="F53" s="1" t="s">
        <v>176</v>
      </c>
      <c r="G53" s="1" t="s">
        <v>703</v>
      </c>
      <c r="H53" s="1" t="s">
        <v>438</v>
      </c>
      <c r="I53" s="1" t="s">
        <v>226</v>
      </c>
      <c r="J53" s="1"/>
      <c r="K53" s="1" t="s">
        <v>176</v>
      </c>
      <c r="L53" s="1" t="s">
        <v>447</v>
      </c>
      <c r="M53" s="1" t="s">
        <v>228</v>
      </c>
      <c r="N53" s="1" t="s">
        <v>440</v>
      </c>
      <c r="O53" s="1"/>
      <c r="P53" s="1" t="s">
        <v>176</v>
      </c>
      <c r="Q53" s="1" t="s">
        <v>704</v>
      </c>
      <c r="R53" s="1" t="s">
        <v>441</v>
      </c>
      <c r="S53" s="1" t="s">
        <v>214</v>
      </c>
      <c r="T53" s="1"/>
      <c r="U53" s="1" t="s">
        <v>176</v>
      </c>
      <c r="V53" s="1" t="s">
        <v>448</v>
      </c>
      <c r="W53" s="1" t="s">
        <v>425</v>
      </c>
      <c r="X53" s="1" t="s">
        <v>424</v>
      </c>
    </row>
    <row r="54" spans="1:24" x14ac:dyDescent="0.2">
      <c r="A54" s="1" t="s">
        <v>177</v>
      </c>
      <c r="B54" s="1" t="s">
        <v>705</v>
      </c>
      <c r="C54" s="1" t="s">
        <v>228</v>
      </c>
      <c r="D54" s="1" t="s">
        <v>232</v>
      </c>
      <c r="E54" s="1"/>
      <c r="F54" s="1" t="s">
        <v>177</v>
      </c>
      <c r="G54" s="1" t="s">
        <v>706</v>
      </c>
      <c r="H54" s="1" t="s">
        <v>438</v>
      </c>
      <c r="I54" s="1" t="s">
        <v>232</v>
      </c>
      <c r="J54" s="1"/>
      <c r="K54" s="1" t="s">
        <v>177</v>
      </c>
      <c r="L54" s="1" t="s">
        <v>449</v>
      </c>
      <c r="M54" s="1" t="s">
        <v>215</v>
      </c>
      <c r="N54" s="1" t="s">
        <v>440</v>
      </c>
      <c r="O54" s="1"/>
      <c r="P54" s="1" t="s">
        <v>177</v>
      </c>
      <c r="Q54" s="1" t="s">
        <v>707</v>
      </c>
      <c r="R54" s="1" t="s">
        <v>441</v>
      </c>
      <c r="S54" s="1" t="s">
        <v>234</v>
      </c>
      <c r="T54" s="1"/>
      <c r="U54" s="1" t="s">
        <v>177</v>
      </c>
      <c r="V54" s="1" t="s">
        <v>450</v>
      </c>
      <c r="W54" s="1" t="s">
        <v>421</v>
      </c>
      <c r="X54" s="1" t="s">
        <v>420</v>
      </c>
    </row>
    <row r="55" spans="1:24" x14ac:dyDescent="0.2">
      <c r="A55" s="1" t="s">
        <v>178</v>
      </c>
      <c r="B55" s="1" t="s">
        <v>708</v>
      </c>
      <c r="C55" s="1" t="s">
        <v>228</v>
      </c>
      <c r="D55" s="1" t="s">
        <v>238</v>
      </c>
      <c r="E55" s="1"/>
      <c r="F55" s="1" t="s">
        <v>178</v>
      </c>
      <c r="G55" s="1" t="s">
        <v>709</v>
      </c>
      <c r="H55" s="1" t="s">
        <v>438</v>
      </c>
      <c r="I55" s="1" t="s">
        <v>238</v>
      </c>
      <c r="J55" s="1"/>
      <c r="K55" s="1" t="s">
        <v>178</v>
      </c>
      <c r="L55" s="1" t="s">
        <v>451</v>
      </c>
      <c r="M55" s="1" t="s">
        <v>222</v>
      </c>
      <c r="N55" s="1" t="s">
        <v>440</v>
      </c>
      <c r="O55" s="1"/>
      <c r="P55" s="1" t="s">
        <v>178</v>
      </c>
      <c r="Q55" s="1" t="s">
        <v>710</v>
      </c>
      <c r="R55" s="1" t="s">
        <v>441</v>
      </c>
      <c r="S55" s="1" t="s">
        <v>240</v>
      </c>
      <c r="T55" s="1"/>
      <c r="U55" s="1" t="s">
        <v>178</v>
      </c>
      <c r="V55" s="1" t="s">
        <v>452</v>
      </c>
      <c r="W55" s="1" t="s">
        <v>417</v>
      </c>
      <c r="X55" s="1" t="s">
        <v>416</v>
      </c>
    </row>
    <row r="56" spans="1:24" x14ac:dyDescent="0.2">
      <c r="A56" s="1" t="s">
        <v>179</v>
      </c>
      <c r="B56" s="1" t="s">
        <v>711</v>
      </c>
      <c r="C56" s="1" t="s">
        <v>228</v>
      </c>
      <c r="D56" s="1" t="s">
        <v>244</v>
      </c>
      <c r="E56" s="1"/>
      <c r="F56" s="1" t="s">
        <v>179</v>
      </c>
      <c r="G56" s="1" t="s">
        <v>712</v>
      </c>
      <c r="H56" s="1" t="s">
        <v>438</v>
      </c>
      <c r="I56" s="1" t="s">
        <v>244</v>
      </c>
      <c r="J56" s="1"/>
      <c r="K56" s="1" t="s">
        <v>179</v>
      </c>
      <c r="L56" s="1" t="s">
        <v>453</v>
      </c>
      <c r="M56" s="1" t="s">
        <v>240</v>
      </c>
      <c r="N56" s="1" t="s">
        <v>440</v>
      </c>
      <c r="O56" s="1"/>
      <c r="P56" s="1" t="s">
        <v>179</v>
      </c>
      <c r="Q56" s="1" t="s">
        <v>713</v>
      </c>
      <c r="R56" s="1" t="s">
        <v>441</v>
      </c>
      <c r="S56" s="1" t="s">
        <v>221</v>
      </c>
      <c r="T56" s="1"/>
      <c r="U56" s="1" t="s">
        <v>179</v>
      </c>
      <c r="V56" s="1" t="s">
        <v>454</v>
      </c>
      <c r="W56" s="1" t="s">
        <v>413</v>
      </c>
      <c r="X56" s="1" t="s">
        <v>412</v>
      </c>
    </row>
    <row r="57" spans="1:24" x14ac:dyDescent="0.2">
      <c r="A57" s="1" t="s">
        <v>180</v>
      </c>
      <c r="B57" s="1" t="s">
        <v>714</v>
      </c>
      <c r="C57" s="1" t="s">
        <v>228</v>
      </c>
      <c r="D57" s="1" t="s">
        <v>249</v>
      </c>
      <c r="E57" s="1"/>
      <c r="F57" s="1" t="s">
        <v>180</v>
      </c>
      <c r="G57" s="1" t="s">
        <v>715</v>
      </c>
      <c r="H57" s="1" t="s">
        <v>438</v>
      </c>
      <c r="I57" s="1" t="s">
        <v>249</v>
      </c>
      <c r="J57" s="1"/>
      <c r="K57" s="1" t="s">
        <v>180</v>
      </c>
      <c r="L57" s="1" t="s">
        <v>455</v>
      </c>
      <c r="M57" s="1" t="s">
        <v>251</v>
      </c>
      <c r="N57" s="1" t="s">
        <v>440</v>
      </c>
      <c r="O57" s="1"/>
      <c r="P57" s="1" t="s">
        <v>180</v>
      </c>
      <c r="Q57" s="1" t="s">
        <v>716</v>
      </c>
      <c r="R57" s="1" t="s">
        <v>441</v>
      </c>
      <c r="S57" s="1" t="s">
        <v>251</v>
      </c>
      <c r="T57" s="1"/>
      <c r="U57" s="1" t="s">
        <v>180</v>
      </c>
      <c r="V57" s="1" t="s">
        <v>456</v>
      </c>
      <c r="W57" s="1" t="s">
        <v>409</v>
      </c>
      <c r="X57" s="1" t="s">
        <v>408</v>
      </c>
    </row>
    <row r="58" spans="1:24" x14ac:dyDescent="0.2">
      <c r="A58" s="1" t="s">
        <v>181</v>
      </c>
      <c r="B58" s="1" t="s">
        <v>717</v>
      </c>
      <c r="C58" s="1" t="s">
        <v>228</v>
      </c>
      <c r="D58" s="1" t="s">
        <v>255</v>
      </c>
      <c r="E58" s="1"/>
      <c r="F58" s="1" t="s">
        <v>181</v>
      </c>
      <c r="G58" s="1" t="s">
        <v>718</v>
      </c>
      <c r="H58" s="1" t="s">
        <v>438</v>
      </c>
      <c r="I58" s="1" t="s">
        <v>255</v>
      </c>
      <c r="J58" s="1"/>
      <c r="K58" s="1" t="s">
        <v>181</v>
      </c>
      <c r="L58" s="1" t="s">
        <v>457</v>
      </c>
      <c r="M58" s="1" t="s">
        <v>203</v>
      </c>
      <c r="N58" s="1" t="s">
        <v>458</v>
      </c>
      <c r="O58" s="1"/>
      <c r="P58" s="1" t="s">
        <v>181</v>
      </c>
      <c r="Q58" s="1" t="s">
        <v>719</v>
      </c>
      <c r="R58" s="1" t="s">
        <v>459</v>
      </c>
      <c r="S58" s="1" t="s">
        <v>203</v>
      </c>
      <c r="T58" s="1"/>
      <c r="U58" s="1" t="s">
        <v>181</v>
      </c>
      <c r="V58" s="1" t="s">
        <v>460</v>
      </c>
      <c r="W58" s="1" t="s">
        <v>403</v>
      </c>
      <c r="X58" s="1" t="s">
        <v>402</v>
      </c>
    </row>
    <row r="59" spans="1:24" x14ac:dyDescent="0.2">
      <c r="A59" s="1" t="s">
        <v>182</v>
      </c>
      <c r="B59" s="1" t="s">
        <v>720</v>
      </c>
      <c r="C59" s="1" t="s">
        <v>228</v>
      </c>
      <c r="D59" s="1" t="s">
        <v>262</v>
      </c>
      <c r="E59" s="1"/>
      <c r="F59" s="1" t="s">
        <v>182</v>
      </c>
      <c r="G59" s="1" t="s">
        <v>721</v>
      </c>
      <c r="H59" s="1" t="s">
        <v>438</v>
      </c>
      <c r="I59" s="1" t="s">
        <v>262</v>
      </c>
      <c r="J59" s="1"/>
      <c r="K59" s="1" t="s">
        <v>182</v>
      </c>
      <c r="L59" s="1" t="s">
        <v>461</v>
      </c>
      <c r="M59" s="1" t="s">
        <v>214</v>
      </c>
      <c r="N59" s="1" t="s">
        <v>458</v>
      </c>
      <c r="O59" s="1"/>
      <c r="P59" s="1" t="s">
        <v>182</v>
      </c>
      <c r="Q59" s="1" t="s">
        <v>722</v>
      </c>
      <c r="R59" s="1" t="s">
        <v>459</v>
      </c>
      <c r="S59" s="1" t="s">
        <v>215</v>
      </c>
      <c r="T59" s="1"/>
      <c r="U59" s="1" t="s">
        <v>182</v>
      </c>
      <c r="V59" s="1" t="s">
        <v>462</v>
      </c>
      <c r="W59" s="1" t="s">
        <v>399</v>
      </c>
      <c r="X59" s="1" t="s">
        <v>398</v>
      </c>
    </row>
    <row r="60" spans="1:24" x14ac:dyDescent="0.2">
      <c r="A60" s="1" t="s">
        <v>183</v>
      </c>
      <c r="B60" s="1" t="s">
        <v>723</v>
      </c>
      <c r="C60" s="1" t="s">
        <v>228</v>
      </c>
      <c r="D60" s="1" t="s">
        <v>267</v>
      </c>
      <c r="E60" s="1"/>
      <c r="F60" s="1" t="s">
        <v>183</v>
      </c>
      <c r="G60" s="1" t="s">
        <v>724</v>
      </c>
      <c r="H60" s="1" t="s">
        <v>438</v>
      </c>
      <c r="I60" s="1" t="s">
        <v>267</v>
      </c>
      <c r="J60" s="1"/>
      <c r="K60" s="1" t="s">
        <v>183</v>
      </c>
      <c r="L60" s="1" t="s">
        <v>463</v>
      </c>
      <c r="M60" s="1" t="s">
        <v>221</v>
      </c>
      <c r="N60" s="1" t="s">
        <v>458</v>
      </c>
      <c r="O60" s="1"/>
      <c r="P60" s="1" t="s">
        <v>183</v>
      </c>
      <c r="Q60" s="1" t="s">
        <v>725</v>
      </c>
      <c r="R60" s="1" t="s">
        <v>459</v>
      </c>
      <c r="S60" s="1" t="s">
        <v>222</v>
      </c>
      <c r="T60" s="1"/>
      <c r="U60" s="1" t="s">
        <v>183</v>
      </c>
      <c r="V60" s="1" t="s">
        <v>464</v>
      </c>
      <c r="W60" s="1" t="s">
        <v>395</v>
      </c>
      <c r="X60" s="1" t="s">
        <v>394</v>
      </c>
    </row>
    <row r="61" spans="1:24" x14ac:dyDescent="0.2">
      <c r="A61" s="1" t="s">
        <v>184</v>
      </c>
      <c r="B61" s="1" t="s">
        <v>726</v>
      </c>
      <c r="C61" s="1" t="s">
        <v>228</v>
      </c>
      <c r="D61" s="1" t="s">
        <v>272</v>
      </c>
      <c r="E61" s="1"/>
      <c r="F61" s="1" t="s">
        <v>184</v>
      </c>
      <c r="G61" s="1" t="s">
        <v>727</v>
      </c>
      <c r="H61" s="1" t="s">
        <v>438</v>
      </c>
      <c r="I61" s="1" t="s">
        <v>272</v>
      </c>
      <c r="J61" s="1"/>
      <c r="K61" s="1" t="s">
        <v>184</v>
      </c>
      <c r="L61" s="1" t="s">
        <v>465</v>
      </c>
      <c r="M61" s="1" t="s">
        <v>228</v>
      </c>
      <c r="N61" s="1" t="s">
        <v>458</v>
      </c>
      <c r="O61" s="1"/>
      <c r="P61" s="1" t="s">
        <v>184</v>
      </c>
      <c r="Q61" s="1" t="s">
        <v>728</v>
      </c>
      <c r="R61" s="1" t="s">
        <v>459</v>
      </c>
      <c r="S61" s="1" t="s">
        <v>214</v>
      </c>
      <c r="T61" s="1"/>
      <c r="U61" s="1" t="s">
        <v>184</v>
      </c>
      <c r="V61" s="1" t="s">
        <v>466</v>
      </c>
      <c r="W61" s="1" t="s">
        <v>391</v>
      </c>
      <c r="X61" s="1" t="s">
        <v>390</v>
      </c>
    </row>
    <row r="62" spans="1:24" x14ac:dyDescent="0.2">
      <c r="A62" s="1" t="s">
        <v>185</v>
      </c>
      <c r="B62" s="1" t="s">
        <v>729</v>
      </c>
      <c r="C62" s="1" t="s">
        <v>228</v>
      </c>
      <c r="D62" s="1" t="s">
        <v>277</v>
      </c>
      <c r="E62" s="1"/>
      <c r="F62" s="1" t="s">
        <v>185</v>
      </c>
      <c r="G62" s="1" t="s">
        <v>730</v>
      </c>
      <c r="H62" s="1" t="s">
        <v>438</v>
      </c>
      <c r="I62" s="1" t="s">
        <v>277</v>
      </c>
      <c r="J62" s="1"/>
      <c r="K62" s="1" t="s">
        <v>185</v>
      </c>
      <c r="L62" s="1" t="s">
        <v>467</v>
      </c>
      <c r="M62" s="1" t="s">
        <v>215</v>
      </c>
      <c r="N62" s="1" t="s">
        <v>458</v>
      </c>
      <c r="O62" s="1"/>
      <c r="P62" s="1" t="s">
        <v>185</v>
      </c>
      <c r="Q62" s="1" t="s">
        <v>731</v>
      </c>
      <c r="R62" s="1" t="s">
        <v>459</v>
      </c>
      <c r="S62" s="1" t="s">
        <v>234</v>
      </c>
      <c r="T62" s="1"/>
      <c r="U62" s="1" t="s">
        <v>185</v>
      </c>
      <c r="V62" s="1" t="s">
        <v>468</v>
      </c>
      <c r="W62" s="1" t="s">
        <v>387</v>
      </c>
      <c r="X62" s="1" t="s">
        <v>386</v>
      </c>
    </row>
    <row r="63" spans="1:24" x14ac:dyDescent="0.2">
      <c r="A63" s="1" t="s">
        <v>186</v>
      </c>
      <c r="B63" s="1" t="s">
        <v>732</v>
      </c>
      <c r="C63" s="1" t="s">
        <v>228</v>
      </c>
      <c r="D63" s="1" t="s">
        <v>282</v>
      </c>
      <c r="E63" s="1"/>
      <c r="F63" s="1" t="s">
        <v>186</v>
      </c>
      <c r="G63" s="1" t="s">
        <v>733</v>
      </c>
      <c r="H63" s="1" t="s">
        <v>438</v>
      </c>
      <c r="I63" s="1" t="s">
        <v>282</v>
      </c>
      <c r="J63" s="1"/>
      <c r="K63" s="1" t="s">
        <v>186</v>
      </c>
      <c r="L63" s="1" t="s">
        <v>469</v>
      </c>
      <c r="M63" s="1" t="s">
        <v>222</v>
      </c>
      <c r="N63" s="1" t="s">
        <v>458</v>
      </c>
      <c r="O63" s="1"/>
      <c r="P63" s="1" t="s">
        <v>186</v>
      </c>
      <c r="Q63" s="1" t="s">
        <v>734</v>
      </c>
      <c r="R63" s="1" t="s">
        <v>459</v>
      </c>
      <c r="S63" s="1" t="s">
        <v>240</v>
      </c>
      <c r="T63" s="1"/>
      <c r="U63" s="1" t="s">
        <v>186</v>
      </c>
      <c r="V63" s="1" t="s">
        <v>470</v>
      </c>
      <c r="W63" s="1" t="s">
        <v>383</v>
      </c>
      <c r="X63" s="1" t="s">
        <v>382</v>
      </c>
    </row>
    <row r="64" spans="1:24" x14ac:dyDescent="0.2">
      <c r="A64" s="1" t="s">
        <v>187</v>
      </c>
      <c r="B64" s="1" t="s">
        <v>735</v>
      </c>
      <c r="C64" s="1" t="s">
        <v>228</v>
      </c>
      <c r="D64" s="1" t="s">
        <v>287</v>
      </c>
      <c r="E64" s="1"/>
      <c r="F64" s="1" t="s">
        <v>187</v>
      </c>
      <c r="G64" s="1" t="s">
        <v>736</v>
      </c>
      <c r="H64" s="1" t="s">
        <v>438</v>
      </c>
      <c r="I64" s="1" t="s">
        <v>287</v>
      </c>
      <c r="J64" s="1"/>
      <c r="K64" s="1" t="s">
        <v>187</v>
      </c>
      <c r="L64" s="1" t="s">
        <v>471</v>
      </c>
      <c r="M64" s="1" t="s">
        <v>240</v>
      </c>
      <c r="N64" s="1" t="s">
        <v>458</v>
      </c>
      <c r="O64" s="1"/>
      <c r="P64" s="1" t="s">
        <v>187</v>
      </c>
      <c r="Q64" s="1" t="s">
        <v>737</v>
      </c>
      <c r="R64" s="1" t="s">
        <v>459</v>
      </c>
      <c r="S64" s="1" t="s">
        <v>221</v>
      </c>
      <c r="T64" s="1"/>
      <c r="U64" s="1" t="s">
        <v>187</v>
      </c>
      <c r="V64" s="1" t="s">
        <v>472</v>
      </c>
      <c r="W64" s="1" t="s">
        <v>379</v>
      </c>
      <c r="X64" s="1" t="s">
        <v>378</v>
      </c>
    </row>
    <row r="65" spans="1:24" x14ac:dyDescent="0.2">
      <c r="A65" s="1" t="s">
        <v>188</v>
      </c>
      <c r="B65" s="1" t="s">
        <v>738</v>
      </c>
      <c r="C65" s="1" t="s">
        <v>228</v>
      </c>
      <c r="D65" s="1" t="s">
        <v>292</v>
      </c>
      <c r="E65" s="1"/>
      <c r="F65" s="1" t="s">
        <v>188</v>
      </c>
      <c r="G65" s="1" t="s">
        <v>739</v>
      </c>
      <c r="H65" s="1" t="s">
        <v>438</v>
      </c>
      <c r="I65" s="1" t="s">
        <v>292</v>
      </c>
      <c r="J65" s="1"/>
      <c r="K65" s="1" t="s">
        <v>188</v>
      </c>
      <c r="L65" s="1" t="s">
        <v>473</v>
      </c>
      <c r="M65" s="1" t="s">
        <v>251</v>
      </c>
      <c r="N65" s="1" t="s">
        <v>458</v>
      </c>
      <c r="O65" s="1"/>
      <c r="P65" s="1" t="s">
        <v>188</v>
      </c>
      <c r="Q65" s="1" t="s">
        <v>740</v>
      </c>
      <c r="R65" s="1" t="s">
        <v>459</v>
      </c>
      <c r="S65" s="1" t="s">
        <v>251</v>
      </c>
      <c r="T65" s="1"/>
      <c r="U65" s="1" t="s">
        <v>188</v>
      </c>
      <c r="V65" s="1" t="s">
        <v>474</v>
      </c>
      <c r="W65" s="1" t="s">
        <v>375</v>
      </c>
      <c r="X65" s="1" t="s">
        <v>374</v>
      </c>
    </row>
    <row r="66" spans="1:24" x14ac:dyDescent="0.2">
      <c r="A66" s="1" t="s">
        <v>189</v>
      </c>
      <c r="B66" s="1" t="s">
        <v>741</v>
      </c>
      <c r="C66" s="1" t="s">
        <v>203</v>
      </c>
      <c r="D66" s="1" t="s">
        <v>475</v>
      </c>
      <c r="E66" s="1"/>
      <c r="F66" s="1" t="s">
        <v>189</v>
      </c>
      <c r="G66" s="1" t="s">
        <v>742</v>
      </c>
      <c r="H66" s="1" t="s">
        <v>438</v>
      </c>
      <c r="I66" s="1" t="s">
        <v>297</v>
      </c>
      <c r="J66" s="1"/>
      <c r="K66" s="1" t="s">
        <v>189</v>
      </c>
      <c r="L66" s="1" t="s">
        <v>476</v>
      </c>
      <c r="M66" s="1" t="s">
        <v>203</v>
      </c>
      <c r="N66" s="1" t="s">
        <v>477</v>
      </c>
      <c r="O66" s="1"/>
      <c r="P66" s="1" t="s">
        <v>189</v>
      </c>
      <c r="Q66" s="1" t="s">
        <v>743</v>
      </c>
      <c r="R66" s="1" t="s">
        <v>478</v>
      </c>
      <c r="S66" s="1" t="s">
        <v>203</v>
      </c>
      <c r="T66" s="1"/>
      <c r="U66" s="1" t="s">
        <v>189</v>
      </c>
      <c r="V66" s="1" t="s">
        <v>479</v>
      </c>
      <c r="W66" s="1" t="s">
        <v>369</v>
      </c>
      <c r="X66" s="1" t="s">
        <v>368</v>
      </c>
    </row>
    <row r="67" spans="1:24" x14ac:dyDescent="0.2">
      <c r="A67" s="1" t="s">
        <v>190</v>
      </c>
      <c r="B67" s="1" t="s">
        <v>744</v>
      </c>
      <c r="C67" s="1" t="s">
        <v>203</v>
      </c>
      <c r="D67" s="1" t="s">
        <v>480</v>
      </c>
      <c r="E67" s="1"/>
      <c r="F67" s="1" t="s">
        <v>190</v>
      </c>
      <c r="G67" s="1" t="s">
        <v>745</v>
      </c>
      <c r="H67" s="1" t="s">
        <v>438</v>
      </c>
      <c r="I67" s="1" t="s">
        <v>304</v>
      </c>
      <c r="J67" s="1"/>
      <c r="K67" s="1" t="s">
        <v>190</v>
      </c>
      <c r="L67" s="1" t="s">
        <v>481</v>
      </c>
      <c r="M67" s="1" t="s">
        <v>214</v>
      </c>
      <c r="N67" s="1" t="s">
        <v>477</v>
      </c>
      <c r="O67" s="1"/>
      <c r="P67" s="1" t="s">
        <v>190</v>
      </c>
      <c r="Q67" s="1" t="s">
        <v>746</v>
      </c>
      <c r="R67" s="1" t="s">
        <v>478</v>
      </c>
      <c r="S67" s="1" t="s">
        <v>215</v>
      </c>
      <c r="T67" s="1"/>
      <c r="U67" s="1" t="s">
        <v>190</v>
      </c>
      <c r="V67" s="1" t="s">
        <v>482</v>
      </c>
      <c r="W67" s="1" t="s">
        <v>365</v>
      </c>
      <c r="X67" s="1" t="s">
        <v>364</v>
      </c>
    </row>
    <row r="68" spans="1:24" x14ac:dyDescent="0.2">
      <c r="A68" s="1" t="s">
        <v>191</v>
      </c>
      <c r="B68" s="1" t="s">
        <v>747</v>
      </c>
      <c r="C68" s="1" t="s">
        <v>203</v>
      </c>
      <c r="D68" s="1" t="s">
        <v>483</v>
      </c>
      <c r="E68" s="1"/>
      <c r="F68" s="1" t="s">
        <v>191</v>
      </c>
      <c r="G68" s="1" t="s">
        <v>748</v>
      </c>
      <c r="H68" s="1" t="s">
        <v>438</v>
      </c>
      <c r="I68" s="1" t="s">
        <v>309</v>
      </c>
      <c r="J68" s="1"/>
      <c r="K68" s="1" t="s">
        <v>191</v>
      </c>
      <c r="L68" s="1" t="s">
        <v>484</v>
      </c>
      <c r="M68" s="1" t="s">
        <v>221</v>
      </c>
      <c r="N68" s="1" t="s">
        <v>477</v>
      </c>
      <c r="O68" s="1"/>
      <c r="P68" s="1" t="s">
        <v>191</v>
      </c>
      <c r="Q68" s="1" t="s">
        <v>749</v>
      </c>
      <c r="R68" s="1" t="s">
        <v>478</v>
      </c>
      <c r="S68" s="1" t="s">
        <v>222</v>
      </c>
      <c r="T68" s="1"/>
      <c r="U68" s="1" t="s">
        <v>191</v>
      </c>
      <c r="V68" s="1" t="s">
        <v>485</v>
      </c>
      <c r="W68" s="1" t="s">
        <v>361</v>
      </c>
      <c r="X68" s="1" t="s">
        <v>360</v>
      </c>
    </row>
    <row r="69" spans="1:24" x14ac:dyDescent="0.2">
      <c r="A69" s="1" t="s">
        <v>192</v>
      </c>
      <c r="B69" s="1" t="s">
        <v>750</v>
      </c>
      <c r="C69" s="1" t="s">
        <v>203</v>
      </c>
      <c r="D69" s="1" t="s">
        <v>486</v>
      </c>
      <c r="E69" s="1"/>
      <c r="F69" s="1" t="s">
        <v>192</v>
      </c>
      <c r="G69" s="1" t="s">
        <v>751</v>
      </c>
      <c r="H69" s="1" t="s">
        <v>438</v>
      </c>
      <c r="I69" s="1" t="s">
        <v>314</v>
      </c>
      <c r="J69" s="1"/>
      <c r="K69" s="1" t="s">
        <v>192</v>
      </c>
      <c r="L69" s="1" t="s">
        <v>487</v>
      </c>
      <c r="M69" s="1" t="s">
        <v>228</v>
      </c>
      <c r="N69" s="1" t="s">
        <v>477</v>
      </c>
      <c r="O69" s="1"/>
      <c r="P69" s="1" t="s">
        <v>192</v>
      </c>
      <c r="Q69" s="1" t="s">
        <v>752</v>
      </c>
      <c r="R69" s="1" t="s">
        <v>478</v>
      </c>
      <c r="S69" s="1" t="s">
        <v>214</v>
      </c>
      <c r="T69" s="1"/>
      <c r="U69" s="1" t="s">
        <v>192</v>
      </c>
      <c r="V69" s="1" t="s">
        <v>488</v>
      </c>
      <c r="W69" s="1" t="s">
        <v>357</v>
      </c>
      <c r="X69" s="1" t="s">
        <v>356</v>
      </c>
    </row>
    <row r="70" spans="1:24" x14ac:dyDescent="0.2">
      <c r="A70" s="1" t="s">
        <v>193</v>
      </c>
      <c r="B70" s="1" t="s">
        <v>753</v>
      </c>
      <c r="C70" s="1" t="s">
        <v>214</v>
      </c>
      <c r="D70" s="1" t="s">
        <v>475</v>
      </c>
      <c r="E70" s="1"/>
      <c r="F70" s="1" t="s">
        <v>193</v>
      </c>
      <c r="G70" s="1" t="s">
        <v>754</v>
      </c>
      <c r="H70" s="1" t="s">
        <v>234</v>
      </c>
      <c r="I70" s="1" t="s">
        <v>297</v>
      </c>
      <c r="J70" s="1"/>
      <c r="K70" s="1" t="s">
        <v>193</v>
      </c>
      <c r="L70" s="1" t="s">
        <v>489</v>
      </c>
      <c r="M70" s="1" t="s">
        <v>215</v>
      </c>
      <c r="N70" s="1" t="s">
        <v>477</v>
      </c>
      <c r="O70" s="1"/>
      <c r="P70" s="1" t="s">
        <v>193</v>
      </c>
      <c r="Q70" s="1" t="s">
        <v>755</v>
      </c>
      <c r="R70" s="1" t="s">
        <v>478</v>
      </c>
      <c r="S70" s="1" t="s">
        <v>234</v>
      </c>
      <c r="T70" s="1"/>
      <c r="U70" s="1" t="s">
        <v>193</v>
      </c>
      <c r="V70" s="1" t="s">
        <v>490</v>
      </c>
      <c r="W70" s="1" t="s">
        <v>353</v>
      </c>
      <c r="X70" s="1" t="s">
        <v>352</v>
      </c>
    </row>
    <row r="71" spans="1:24" x14ac:dyDescent="0.2">
      <c r="A71" s="1" t="s">
        <v>194</v>
      </c>
      <c r="B71" s="1" t="s">
        <v>756</v>
      </c>
      <c r="C71" s="1" t="s">
        <v>214</v>
      </c>
      <c r="D71" s="1" t="s">
        <v>480</v>
      </c>
      <c r="E71" s="1"/>
      <c r="F71" s="1" t="s">
        <v>194</v>
      </c>
      <c r="G71" s="1" t="s">
        <v>757</v>
      </c>
      <c r="H71" s="1" t="s">
        <v>234</v>
      </c>
      <c r="I71" s="1" t="s">
        <v>304</v>
      </c>
      <c r="J71" s="1"/>
      <c r="K71" s="1" t="s">
        <v>194</v>
      </c>
      <c r="L71" s="1" t="s">
        <v>491</v>
      </c>
      <c r="M71" s="1" t="s">
        <v>222</v>
      </c>
      <c r="N71" s="1" t="s">
        <v>477</v>
      </c>
      <c r="O71" s="1"/>
      <c r="P71" s="1" t="s">
        <v>194</v>
      </c>
      <c r="Q71" s="1" t="s">
        <v>758</v>
      </c>
      <c r="R71" s="1" t="s">
        <v>478</v>
      </c>
      <c r="S71" s="1" t="s">
        <v>240</v>
      </c>
      <c r="T71" s="1"/>
      <c r="U71" s="1" t="s">
        <v>194</v>
      </c>
      <c r="V71" s="1" t="s">
        <v>492</v>
      </c>
      <c r="W71" s="1" t="s">
        <v>349</v>
      </c>
      <c r="X71" s="1" t="s">
        <v>348</v>
      </c>
    </row>
    <row r="72" spans="1:24" x14ac:dyDescent="0.2">
      <c r="A72" s="1" t="s">
        <v>195</v>
      </c>
      <c r="B72" s="1" t="s">
        <v>759</v>
      </c>
      <c r="C72" s="1" t="s">
        <v>214</v>
      </c>
      <c r="D72" s="1" t="s">
        <v>483</v>
      </c>
      <c r="E72" s="1"/>
      <c r="F72" s="1" t="s">
        <v>195</v>
      </c>
      <c r="G72" s="1" t="s">
        <v>760</v>
      </c>
      <c r="H72" s="1" t="s">
        <v>234</v>
      </c>
      <c r="I72" s="1" t="s">
        <v>309</v>
      </c>
      <c r="J72" s="1"/>
      <c r="K72" s="1" t="s">
        <v>195</v>
      </c>
      <c r="L72" s="1" t="s">
        <v>493</v>
      </c>
      <c r="M72" s="1" t="s">
        <v>240</v>
      </c>
      <c r="N72" s="1" t="s">
        <v>477</v>
      </c>
      <c r="O72" s="1"/>
      <c r="P72" s="1" t="s">
        <v>195</v>
      </c>
      <c r="Q72" s="1" t="s">
        <v>761</v>
      </c>
      <c r="R72" s="1" t="s">
        <v>478</v>
      </c>
      <c r="S72" s="1" t="s">
        <v>221</v>
      </c>
      <c r="T72" s="1"/>
      <c r="U72" s="1" t="s">
        <v>195</v>
      </c>
      <c r="V72" s="1" t="s">
        <v>494</v>
      </c>
      <c r="W72" s="1" t="s">
        <v>345</v>
      </c>
      <c r="X72" s="1" t="s">
        <v>344</v>
      </c>
    </row>
    <row r="73" spans="1:24" x14ac:dyDescent="0.2">
      <c r="A73" s="1" t="s">
        <v>196</v>
      </c>
      <c r="B73" s="1" t="s">
        <v>762</v>
      </c>
      <c r="C73" s="1" t="s">
        <v>214</v>
      </c>
      <c r="D73" s="1" t="s">
        <v>486</v>
      </c>
      <c r="E73" s="1"/>
      <c r="F73" s="1" t="s">
        <v>196</v>
      </c>
      <c r="G73" s="1" t="s">
        <v>763</v>
      </c>
      <c r="H73" s="1" t="s">
        <v>234</v>
      </c>
      <c r="I73" s="1" t="s">
        <v>314</v>
      </c>
      <c r="J73" s="1"/>
      <c r="K73" s="1" t="s">
        <v>196</v>
      </c>
      <c r="L73" s="1" t="s">
        <v>495</v>
      </c>
      <c r="M73" s="1" t="s">
        <v>251</v>
      </c>
      <c r="N73" s="1" t="s">
        <v>477</v>
      </c>
      <c r="O73" s="1"/>
      <c r="P73" s="1" t="s">
        <v>196</v>
      </c>
      <c r="Q73" s="1" t="s">
        <v>764</v>
      </c>
      <c r="R73" s="1" t="s">
        <v>478</v>
      </c>
      <c r="S73" s="1" t="s">
        <v>251</v>
      </c>
      <c r="T73" s="1"/>
      <c r="U73" s="1" t="s">
        <v>196</v>
      </c>
      <c r="V73" s="1" t="s">
        <v>496</v>
      </c>
      <c r="W73" s="1" t="s">
        <v>341</v>
      </c>
      <c r="X73" s="1" t="s">
        <v>340</v>
      </c>
    </row>
    <row r="74" spans="1:24" x14ac:dyDescent="0.2">
      <c r="A74" s="1" t="s">
        <v>98</v>
      </c>
      <c r="B74" s="1" t="s">
        <v>765</v>
      </c>
      <c r="C74" s="1" t="s">
        <v>234</v>
      </c>
      <c r="D74" s="1" t="s">
        <v>475</v>
      </c>
      <c r="E74" s="1"/>
      <c r="F74" s="1" t="s">
        <v>98</v>
      </c>
      <c r="G74" s="1" t="s">
        <v>766</v>
      </c>
      <c r="H74" s="1" t="s">
        <v>497</v>
      </c>
      <c r="I74" s="1" t="s">
        <v>204</v>
      </c>
      <c r="J74" s="1"/>
      <c r="K74" s="1" t="s">
        <v>98</v>
      </c>
      <c r="L74" s="1" t="s">
        <v>498</v>
      </c>
      <c r="M74" s="1" t="s">
        <v>203</v>
      </c>
      <c r="N74" s="1" t="s">
        <v>499</v>
      </c>
      <c r="O74" s="1"/>
      <c r="P74" s="1" t="s">
        <v>98</v>
      </c>
      <c r="Q74" s="1" t="s">
        <v>767</v>
      </c>
      <c r="R74" s="1" t="s">
        <v>219</v>
      </c>
      <c r="S74" s="1" t="s">
        <v>203</v>
      </c>
      <c r="T74" s="1"/>
      <c r="U74" s="1" t="s">
        <v>98</v>
      </c>
      <c r="V74" s="1" t="s">
        <v>500</v>
      </c>
      <c r="W74" s="1" t="s">
        <v>334</v>
      </c>
      <c r="X74" s="1" t="s">
        <v>333</v>
      </c>
    </row>
    <row r="75" spans="1:24" x14ac:dyDescent="0.2">
      <c r="A75" s="1" t="s">
        <v>99</v>
      </c>
      <c r="B75" s="1" t="s">
        <v>768</v>
      </c>
      <c r="C75" s="1" t="s">
        <v>234</v>
      </c>
      <c r="D75" s="1" t="s">
        <v>480</v>
      </c>
      <c r="E75" s="1"/>
      <c r="F75" s="1" t="s">
        <v>99</v>
      </c>
      <c r="G75" s="1" t="s">
        <v>769</v>
      </c>
      <c r="H75" s="1" t="s">
        <v>497</v>
      </c>
      <c r="I75" s="1" t="s">
        <v>212</v>
      </c>
      <c r="J75" s="1"/>
      <c r="K75" s="1" t="s">
        <v>99</v>
      </c>
      <c r="L75" s="1" t="s">
        <v>501</v>
      </c>
      <c r="M75" s="1" t="s">
        <v>214</v>
      </c>
      <c r="N75" s="1" t="s">
        <v>499</v>
      </c>
      <c r="O75" s="1"/>
      <c r="P75" s="1" t="s">
        <v>99</v>
      </c>
      <c r="Q75" s="1" t="s">
        <v>770</v>
      </c>
      <c r="R75" s="1" t="s">
        <v>219</v>
      </c>
      <c r="S75" s="1" t="s">
        <v>215</v>
      </c>
      <c r="T75" s="1"/>
      <c r="U75" s="1" t="s">
        <v>99</v>
      </c>
      <c r="V75" s="1" t="s">
        <v>502</v>
      </c>
      <c r="W75" s="1" t="s">
        <v>330</v>
      </c>
      <c r="X75" s="1" t="s">
        <v>329</v>
      </c>
    </row>
    <row r="76" spans="1:24" x14ac:dyDescent="0.2">
      <c r="A76" s="1" t="s">
        <v>100</v>
      </c>
      <c r="B76" s="1" t="s">
        <v>771</v>
      </c>
      <c r="C76" s="1" t="s">
        <v>234</v>
      </c>
      <c r="D76" s="1" t="s">
        <v>483</v>
      </c>
      <c r="E76" s="1"/>
      <c r="F76" s="1" t="s">
        <v>100</v>
      </c>
      <c r="G76" s="1" t="s">
        <v>772</v>
      </c>
      <c r="H76" s="1" t="s">
        <v>497</v>
      </c>
      <c r="I76" s="1" t="s">
        <v>219</v>
      </c>
      <c r="J76" s="1"/>
      <c r="K76" s="1" t="s">
        <v>100</v>
      </c>
      <c r="L76" s="1" t="s">
        <v>503</v>
      </c>
      <c r="M76" s="1" t="s">
        <v>221</v>
      </c>
      <c r="N76" s="1" t="s">
        <v>499</v>
      </c>
      <c r="O76" s="1"/>
      <c r="P76" s="1" t="s">
        <v>100</v>
      </c>
      <c r="Q76" s="1" t="s">
        <v>773</v>
      </c>
      <c r="R76" s="1" t="s">
        <v>219</v>
      </c>
      <c r="S76" s="1" t="s">
        <v>222</v>
      </c>
      <c r="T76" s="1"/>
      <c r="U76" s="1" t="s">
        <v>100</v>
      </c>
      <c r="V76" s="1" t="s">
        <v>504</v>
      </c>
      <c r="W76" s="1" t="s">
        <v>326</v>
      </c>
      <c r="X76" s="1" t="s">
        <v>325</v>
      </c>
    </row>
    <row r="77" spans="1:24" x14ac:dyDescent="0.2">
      <c r="A77" s="1" t="s">
        <v>101</v>
      </c>
      <c r="B77" s="1" t="s">
        <v>774</v>
      </c>
      <c r="C77" s="1" t="s">
        <v>234</v>
      </c>
      <c r="D77" s="1" t="s">
        <v>486</v>
      </c>
      <c r="E77" s="1"/>
      <c r="F77" s="1" t="s">
        <v>101</v>
      </c>
      <c r="G77" s="1" t="s">
        <v>775</v>
      </c>
      <c r="H77" s="1" t="s">
        <v>497</v>
      </c>
      <c r="I77" s="1" t="s">
        <v>226</v>
      </c>
      <c r="J77" s="1"/>
      <c r="K77" s="1" t="s">
        <v>101</v>
      </c>
      <c r="L77" s="1" t="s">
        <v>505</v>
      </c>
      <c r="M77" s="1" t="s">
        <v>228</v>
      </c>
      <c r="N77" s="1" t="s">
        <v>499</v>
      </c>
      <c r="O77" s="1"/>
      <c r="P77" s="1" t="s">
        <v>101</v>
      </c>
      <c r="Q77" s="1" t="s">
        <v>776</v>
      </c>
      <c r="R77" s="1" t="s">
        <v>219</v>
      </c>
      <c r="S77" s="1" t="s">
        <v>214</v>
      </c>
      <c r="T77" s="1"/>
      <c r="U77" s="1" t="s">
        <v>101</v>
      </c>
      <c r="V77" s="1" t="s">
        <v>506</v>
      </c>
      <c r="W77" s="1" t="s">
        <v>322</v>
      </c>
      <c r="X77" s="1" t="s">
        <v>321</v>
      </c>
    </row>
    <row r="78" spans="1:24" x14ac:dyDescent="0.2">
      <c r="A78" s="1" t="s">
        <v>102</v>
      </c>
      <c r="B78" s="1" t="s">
        <v>777</v>
      </c>
      <c r="C78" s="1" t="s">
        <v>228</v>
      </c>
      <c r="D78" s="1" t="s">
        <v>475</v>
      </c>
      <c r="E78" s="1"/>
      <c r="F78" s="1" t="s">
        <v>102</v>
      </c>
      <c r="G78" s="1" t="s">
        <v>778</v>
      </c>
      <c r="H78" s="1" t="s">
        <v>497</v>
      </c>
      <c r="I78" s="1" t="s">
        <v>232</v>
      </c>
      <c r="J78" s="1"/>
      <c r="K78" s="1" t="s">
        <v>102</v>
      </c>
      <c r="L78" s="1" t="s">
        <v>507</v>
      </c>
      <c r="M78" s="1" t="s">
        <v>215</v>
      </c>
      <c r="N78" s="1" t="s">
        <v>499</v>
      </c>
      <c r="O78" s="1"/>
      <c r="P78" s="1" t="s">
        <v>102</v>
      </c>
      <c r="Q78" s="1" t="s">
        <v>779</v>
      </c>
      <c r="R78" s="1" t="s">
        <v>219</v>
      </c>
      <c r="S78" s="1" t="s">
        <v>234</v>
      </c>
      <c r="T78" s="1"/>
      <c r="U78" s="1" t="s">
        <v>102</v>
      </c>
      <c r="V78" s="1" t="s">
        <v>508</v>
      </c>
      <c r="W78" s="1" t="s">
        <v>318</v>
      </c>
      <c r="X78" s="1" t="s">
        <v>317</v>
      </c>
    </row>
    <row r="79" spans="1:24" x14ac:dyDescent="0.2">
      <c r="A79" s="1" t="s">
        <v>103</v>
      </c>
      <c r="B79" s="1" t="s">
        <v>780</v>
      </c>
      <c r="C79" s="1" t="s">
        <v>228</v>
      </c>
      <c r="D79" s="1" t="s">
        <v>480</v>
      </c>
      <c r="E79" s="1"/>
      <c r="F79" s="1" t="s">
        <v>103</v>
      </c>
      <c r="G79" s="1" t="s">
        <v>781</v>
      </c>
      <c r="H79" s="1" t="s">
        <v>497</v>
      </c>
      <c r="I79" s="1" t="s">
        <v>238</v>
      </c>
      <c r="J79" s="1"/>
      <c r="K79" s="1" t="s">
        <v>103</v>
      </c>
      <c r="L79" s="1" t="s">
        <v>509</v>
      </c>
      <c r="M79" s="1" t="s">
        <v>222</v>
      </c>
      <c r="N79" s="1" t="s">
        <v>499</v>
      </c>
      <c r="O79" s="1"/>
      <c r="P79" s="1" t="s">
        <v>103</v>
      </c>
      <c r="Q79" s="1" t="s">
        <v>782</v>
      </c>
      <c r="R79" s="1" t="s">
        <v>219</v>
      </c>
      <c r="S79" s="1" t="s">
        <v>240</v>
      </c>
      <c r="T79" s="1"/>
      <c r="U79" s="1" t="s">
        <v>103</v>
      </c>
      <c r="V79" s="1" t="s">
        <v>510</v>
      </c>
      <c r="W79" s="1" t="s">
        <v>313</v>
      </c>
      <c r="X79" s="1" t="s">
        <v>312</v>
      </c>
    </row>
    <row r="80" spans="1:24" x14ac:dyDescent="0.2">
      <c r="A80" s="1" t="s">
        <v>104</v>
      </c>
      <c r="B80" s="1" t="s">
        <v>783</v>
      </c>
      <c r="C80" s="1" t="s">
        <v>228</v>
      </c>
      <c r="D80" s="1" t="s">
        <v>483</v>
      </c>
      <c r="E80" s="1"/>
      <c r="F80" s="1" t="s">
        <v>104</v>
      </c>
      <c r="G80" s="1" t="s">
        <v>784</v>
      </c>
      <c r="H80" s="1" t="s">
        <v>497</v>
      </c>
      <c r="I80" s="1" t="s">
        <v>244</v>
      </c>
      <c r="J80" s="1"/>
      <c r="K80" s="1" t="s">
        <v>104</v>
      </c>
      <c r="L80" s="1" t="s">
        <v>511</v>
      </c>
      <c r="M80" s="1" t="s">
        <v>240</v>
      </c>
      <c r="N80" s="1" t="s">
        <v>499</v>
      </c>
      <c r="O80" s="1"/>
      <c r="P80" s="1" t="s">
        <v>104</v>
      </c>
      <c r="Q80" s="1" t="s">
        <v>785</v>
      </c>
      <c r="R80" s="1" t="s">
        <v>219</v>
      </c>
      <c r="S80" s="1" t="s">
        <v>221</v>
      </c>
      <c r="T80" s="1"/>
      <c r="U80" s="1" t="s">
        <v>104</v>
      </c>
      <c r="V80" s="1" t="s">
        <v>512</v>
      </c>
      <c r="W80" s="1" t="s">
        <v>308</v>
      </c>
      <c r="X80" s="1" t="s">
        <v>307</v>
      </c>
    </row>
    <row r="81" spans="1:24" x14ac:dyDescent="0.2">
      <c r="A81" s="1" t="s">
        <v>105</v>
      </c>
      <c r="B81" s="1" t="s">
        <v>786</v>
      </c>
      <c r="C81" s="1" t="s">
        <v>228</v>
      </c>
      <c r="D81" s="1" t="s">
        <v>486</v>
      </c>
      <c r="E81" s="1"/>
      <c r="F81" s="1" t="s">
        <v>105</v>
      </c>
      <c r="G81" s="1" t="s">
        <v>787</v>
      </c>
      <c r="H81" s="1" t="s">
        <v>497</v>
      </c>
      <c r="I81" s="1" t="s">
        <v>249</v>
      </c>
      <c r="J81" s="1"/>
      <c r="K81" s="1" t="s">
        <v>105</v>
      </c>
      <c r="L81" s="1" t="s">
        <v>513</v>
      </c>
      <c r="M81" s="1" t="s">
        <v>251</v>
      </c>
      <c r="N81" s="1" t="s">
        <v>499</v>
      </c>
      <c r="O81" s="1"/>
      <c r="P81" s="1" t="s">
        <v>105</v>
      </c>
      <c r="Q81" s="1" t="s">
        <v>788</v>
      </c>
      <c r="R81" s="1" t="s">
        <v>219</v>
      </c>
      <c r="S81" s="1" t="s">
        <v>251</v>
      </c>
      <c r="T81" s="1"/>
      <c r="U81" s="1" t="s">
        <v>105</v>
      </c>
      <c r="V81" s="1" t="s">
        <v>514</v>
      </c>
      <c r="W81" s="1" t="s">
        <v>303</v>
      </c>
      <c r="X81" s="1" t="s">
        <v>302</v>
      </c>
    </row>
    <row r="82" spans="1:24" x14ac:dyDescent="0.2">
      <c r="A82" s="1" t="s">
        <v>106</v>
      </c>
      <c r="B82" s="1" t="s">
        <v>789</v>
      </c>
      <c r="C82" s="1" t="s">
        <v>205</v>
      </c>
      <c r="D82" s="1" t="s">
        <v>475</v>
      </c>
      <c r="E82" s="1"/>
      <c r="F82" s="1" t="s">
        <v>106</v>
      </c>
      <c r="G82" s="1" t="s">
        <v>790</v>
      </c>
      <c r="H82" s="1" t="s">
        <v>497</v>
      </c>
      <c r="I82" s="1" t="s">
        <v>255</v>
      </c>
      <c r="J82" s="1"/>
      <c r="K82" s="1" t="s">
        <v>106</v>
      </c>
      <c r="L82" s="1" t="s">
        <v>515</v>
      </c>
      <c r="M82" s="1" t="s">
        <v>203</v>
      </c>
      <c r="N82" s="1" t="s">
        <v>516</v>
      </c>
      <c r="O82" s="1"/>
      <c r="P82" s="1" t="s">
        <v>106</v>
      </c>
      <c r="Q82" s="1" t="s">
        <v>791</v>
      </c>
      <c r="R82" s="1" t="s">
        <v>238</v>
      </c>
      <c r="S82" s="1" t="s">
        <v>203</v>
      </c>
      <c r="T82" s="1"/>
      <c r="U82" s="1" t="s">
        <v>106</v>
      </c>
      <c r="V82" s="1" t="s">
        <v>517</v>
      </c>
      <c r="W82" s="1" t="s">
        <v>296</v>
      </c>
      <c r="X82" s="1" t="s">
        <v>295</v>
      </c>
    </row>
    <row r="83" spans="1:24" x14ac:dyDescent="0.2">
      <c r="A83" s="1" t="s">
        <v>107</v>
      </c>
      <c r="B83" s="1" t="s">
        <v>792</v>
      </c>
      <c r="C83" s="1" t="s">
        <v>205</v>
      </c>
      <c r="D83" s="1" t="s">
        <v>480</v>
      </c>
      <c r="E83" s="1"/>
      <c r="F83" s="1" t="s">
        <v>107</v>
      </c>
      <c r="G83" s="1" t="s">
        <v>793</v>
      </c>
      <c r="H83" s="1" t="s">
        <v>497</v>
      </c>
      <c r="I83" s="1" t="s">
        <v>262</v>
      </c>
      <c r="J83" s="1"/>
      <c r="K83" s="1" t="s">
        <v>107</v>
      </c>
      <c r="L83" s="1" t="s">
        <v>518</v>
      </c>
      <c r="M83" s="1" t="s">
        <v>214</v>
      </c>
      <c r="N83" s="1" t="s">
        <v>516</v>
      </c>
      <c r="O83" s="1"/>
      <c r="P83" s="1" t="s">
        <v>107</v>
      </c>
      <c r="Q83" s="1" t="s">
        <v>794</v>
      </c>
      <c r="R83" s="1" t="s">
        <v>238</v>
      </c>
      <c r="S83" s="1" t="s">
        <v>215</v>
      </c>
      <c r="T83" s="1"/>
      <c r="U83" s="1" t="s">
        <v>107</v>
      </c>
      <c r="V83" s="1" t="s">
        <v>519</v>
      </c>
      <c r="W83" s="1" t="s">
        <v>291</v>
      </c>
      <c r="X83" s="1" t="s">
        <v>290</v>
      </c>
    </row>
    <row r="84" spans="1:24" x14ac:dyDescent="0.2">
      <c r="A84" s="1" t="s">
        <v>108</v>
      </c>
      <c r="B84" s="1" t="s">
        <v>795</v>
      </c>
      <c r="C84" s="1" t="s">
        <v>205</v>
      </c>
      <c r="D84" s="1" t="s">
        <v>483</v>
      </c>
      <c r="E84" s="1"/>
      <c r="F84" s="1" t="s">
        <v>108</v>
      </c>
      <c r="G84" s="1" t="s">
        <v>796</v>
      </c>
      <c r="H84" s="1" t="s">
        <v>497</v>
      </c>
      <c r="I84" s="1" t="s">
        <v>267</v>
      </c>
      <c r="J84" s="1"/>
      <c r="K84" s="1" t="s">
        <v>108</v>
      </c>
      <c r="L84" s="1" t="s">
        <v>520</v>
      </c>
      <c r="M84" s="1" t="s">
        <v>221</v>
      </c>
      <c r="N84" s="1" t="s">
        <v>516</v>
      </c>
      <c r="O84" s="1"/>
      <c r="P84" s="1" t="s">
        <v>108</v>
      </c>
      <c r="Q84" s="1" t="s">
        <v>797</v>
      </c>
      <c r="R84" s="1" t="s">
        <v>238</v>
      </c>
      <c r="S84" s="1" t="s">
        <v>222</v>
      </c>
      <c r="T84" s="1"/>
      <c r="U84" s="1" t="s">
        <v>108</v>
      </c>
      <c r="V84" s="1" t="s">
        <v>521</v>
      </c>
      <c r="W84" s="1" t="s">
        <v>286</v>
      </c>
      <c r="X84" s="1" t="s">
        <v>285</v>
      </c>
    </row>
    <row r="85" spans="1:24" x14ac:dyDescent="0.2">
      <c r="A85" s="1" t="s">
        <v>109</v>
      </c>
      <c r="B85" s="1" t="s">
        <v>798</v>
      </c>
      <c r="C85" s="1" t="s">
        <v>205</v>
      </c>
      <c r="D85" s="1" t="s">
        <v>486</v>
      </c>
      <c r="E85" s="1"/>
      <c r="F85" s="1" t="s">
        <v>109</v>
      </c>
      <c r="G85" s="1" t="s">
        <v>799</v>
      </c>
      <c r="H85" s="1" t="s">
        <v>497</v>
      </c>
      <c r="I85" s="1" t="s">
        <v>272</v>
      </c>
      <c r="J85" s="1"/>
      <c r="K85" s="1" t="s">
        <v>109</v>
      </c>
      <c r="L85" s="1" t="s">
        <v>522</v>
      </c>
      <c r="M85" s="1" t="s">
        <v>228</v>
      </c>
      <c r="N85" s="1" t="s">
        <v>516</v>
      </c>
      <c r="O85" s="1"/>
      <c r="P85" s="1" t="s">
        <v>109</v>
      </c>
      <c r="Q85" s="1" t="s">
        <v>800</v>
      </c>
      <c r="R85" s="1" t="s">
        <v>238</v>
      </c>
      <c r="S85" s="1" t="s">
        <v>214</v>
      </c>
      <c r="T85" s="1"/>
      <c r="U85" s="1" t="s">
        <v>109</v>
      </c>
      <c r="V85" s="1" t="s">
        <v>523</v>
      </c>
      <c r="W85" s="1" t="s">
        <v>281</v>
      </c>
      <c r="X85" s="1" t="s">
        <v>280</v>
      </c>
    </row>
    <row r="86" spans="1:24" x14ac:dyDescent="0.2">
      <c r="A86" s="1" t="s">
        <v>110</v>
      </c>
      <c r="B86" s="1" t="s">
        <v>801</v>
      </c>
      <c r="C86" s="1" t="s">
        <v>335</v>
      </c>
      <c r="D86" s="1" t="s">
        <v>475</v>
      </c>
      <c r="E86" s="1"/>
      <c r="F86" s="1" t="s">
        <v>110</v>
      </c>
      <c r="G86" s="1" t="s">
        <v>802</v>
      </c>
      <c r="H86" s="1" t="s">
        <v>497</v>
      </c>
      <c r="I86" s="1" t="s">
        <v>277</v>
      </c>
      <c r="J86" s="1"/>
      <c r="K86" s="1" t="s">
        <v>110</v>
      </c>
      <c r="L86" s="1" t="s">
        <v>524</v>
      </c>
      <c r="M86" s="1" t="s">
        <v>215</v>
      </c>
      <c r="N86" s="1" t="s">
        <v>516</v>
      </c>
      <c r="O86" s="1"/>
      <c r="P86" s="1" t="s">
        <v>110</v>
      </c>
      <c r="Q86" s="1" t="s">
        <v>803</v>
      </c>
      <c r="R86" s="1" t="s">
        <v>238</v>
      </c>
      <c r="S86" s="1" t="s">
        <v>234</v>
      </c>
      <c r="T86" s="1"/>
      <c r="U86" s="1" t="s">
        <v>110</v>
      </c>
      <c r="V86" s="1" t="s">
        <v>525</v>
      </c>
      <c r="W86" s="1" t="s">
        <v>276</v>
      </c>
      <c r="X86" s="1" t="s">
        <v>275</v>
      </c>
    </row>
    <row r="87" spans="1:24" x14ac:dyDescent="0.2">
      <c r="A87" s="1" t="s">
        <v>111</v>
      </c>
      <c r="B87" s="1" t="s">
        <v>804</v>
      </c>
      <c r="C87" s="1" t="s">
        <v>335</v>
      </c>
      <c r="D87" s="1" t="s">
        <v>480</v>
      </c>
      <c r="E87" s="1"/>
      <c r="F87" s="1" t="s">
        <v>111</v>
      </c>
      <c r="G87" s="1" t="s">
        <v>805</v>
      </c>
      <c r="H87" s="1" t="s">
        <v>497</v>
      </c>
      <c r="I87" s="1" t="s">
        <v>282</v>
      </c>
      <c r="J87" s="1"/>
      <c r="K87" s="1" t="s">
        <v>111</v>
      </c>
      <c r="L87" s="1" t="s">
        <v>526</v>
      </c>
      <c r="M87" s="1" t="s">
        <v>222</v>
      </c>
      <c r="N87" s="1" t="s">
        <v>516</v>
      </c>
      <c r="O87" s="1"/>
      <c r="P87" s="1" t="s">
        <v>111</v>
      </c>
      <c r="Q87" s="1" t="s">
        <v>806</v>
      </c>
      <c r="R87" s="1" t="s">
        <v>238</v>
      </c>
      <c r="S87" s="1" t="s">
        <v>240</v>
      </c>
      <c r="T87" s="1"/>
      <c r="U87" s="1" t="s">
        <v>111</v>
      </c>
      <c r="V87" s="1" t="s">
        <v>527</v>
      </c>
      <c r="W87" s="1" t="s">
        <v>271</v>
      </c>
      <c r="X87" s="1" t="s">
        <v>270</v>
      </c>
    </row>
    <row r="88" spans="1:24" x14ac:dyDescent="0.2">
      <c r="A88" s="1" t="s">
        <v>112</v>
      </c>
      <c r="B88" s="1" t="s">
        <v>807</v>
      </c>
      <c r="C88" s="1" t="s">
        <v>335</v>
      </c>
      <c r="D88" s="1" t="s">
        <v>483</v>
      </c>
      <c r="E88" s="1"/>
      <c r="F88" s="1" t="s">
        <v>112</v>
      </c>
      <c r="G88" s="1" t="s">
        <v>808</v>
      </c>
      <c r="H88" s="1" t="s">
        <v>497</v>
      </c>
      <c r="I88" s="1" t="s">
        <v>287</v>
      </c>
      <c r="J88" s="1"/>
      <c r="K88" s="1" t="s">
        <v>112</v>
      </c>
      <c r="L88" s="1" t="s">
        <v>528</v>
      </c>
      <c r="M88" s="1" t="s">
        <v>240</v>
      </c>
      <c r="N88" s="1" t="s">
        <v>516</v>
      </c>
      <c r="O88" s="1"/>
      <c r="P88" s="1" t="s">
        <v>112</v>
      </c>
      <c r="Q88" s="1" t="s">
        <v>809</v>
      </c>
      <c r="R88" s="1" t="s">
        <v>238</v>
      </c>
      <c r="S88" s="1" t="s">
        <v>221</v>
      </c>
      <c r="T88" s="1"/>
      <c r="U88" s="1" t="s">
        <v>112</v>
      </c>
      <c r="V88" s="1" t="s">
        <v>529</v>
      </c>
      <c r="W88" s="1" t="s">
        <v>266</v>
      </c>
      <c r="X88" s="1" t="s">
        <v>265</v>
      </c>
    </row>
    <row r="89" spans="1:24" x14ac:dyDescent="0.2">
      <c r="A89" s="1" t="s">
        <v>113</v>
      </c>
      <c r="B89" s="1" t="s">
        <v>810</v>
      </c>
      <c r="C89" s="1" t="s">
        <v>335</v>
      </c>
      <c r="D89" s="1" t="s">
        <v>486</v>
      </c>
      <c r="E89" s="1"/>
      <c r="F89" s="1" t="s">
        <v>113</v>
      </c>
      <c r="G89" s="1" t="s">
        <v>811</v>
      </c>
      <c r="H89" s="1" t="s">
        <v>497</v>
      </c>
      <c r="I89" s="1" t="s">
        <v>292</v>
      </c>
      <c r="J89" s="1"/>
      <c r="K89" s="1" t="s">
        <v>113</v>
      </c>
      <c r="L89" s="1" t="s">
        <v>530</v>
      </c>
      <c r="M89" s="1" t="s">
        <v>251</v>
      </c>
      <c r="N89" s="1" t="s">
        <v>516</v>
      </c>
      <c r="O89" s="1"/>
      <c r="P89" s="1" t="s">
        <v>113</v>
      </c>
      <c r="Q89" s="1" t="s">
        <v>812</v>
      </c>
      <c r="R89" s="1" t="s">
        <v>238</v>
      </c>
      <c r="S89" s="1" t="s">
        <v>251</v>
      </c>
      <c r="T89" s="1"/>
      <c r="U89" s="1" t="s">
        <v>113</v>
      </c>
      <c r="V89" s="1" t="s">
        <v>531</v>
      </c>
      <c r="W89" s="1" t="s">
        <v>261</v>
      </c>
      <c r="X89" s="1" t="s">
        <v>260</v>
      </c>
    </row>
    <row r="90" spans="1:24" x14ac:dyDescent="0.2">
      <c r="A90" s="1" t="s">
        <v>114</v>
      </c>
      <c r="B90" s="1" t="s">
        <v>813</v>
      </c>
      <c r="C90" s="1" t="s">
        <v>438</v>
      </c>
      <c r="D90" s="1" t="s">
        <v>475</v>
      </c>
      <c r="E90" s="1"/>
      <c r="F90" s="1" t="s">
        <v>114</v>
      </c>
      <c r="G90" s="1" t="s">
        <v>814</v>
      </c>
      <c r="H90" s="1" t="s">
        <v>497</v>
      </c>
      <c r="I90" s="1" t="s">
        <v>297</v>
      </c>
      <c r="J90" s="1"/>
      <c r="K90" s="1" t="s">
        <v>114</v>
      </c>
      <c r="L90" s="1" t="s">
        <v>532</v>
      </c>
      <c r="M90" s="1" t="s">
        <v>203</v>
      </c>
      <c r="N90" s="1" t="s">
        <v>533</v>
      </c>
      <c r="O90" s="1"/>
      <c r="P90" s="1" t="s">
        <v>114</v>
      </c>
      <c r="Q90" s="1" t="s">
        <v>815</v>
      </c>
      <c r="R90" s="1" t="s">
        <v>204</v>
      </c>
      <c r="S90" s="1" t="s">
        <v>203</v>
      </c>
      <c r="T90" s="1"/>
      <c r="U90" s="1" t="s">
        <v>114</v>
      </c>
      <c r="V90" s="1" t="s">
        <v>534</v>
      </c>
      <c r="W90" s="1" t="s">
        <v>254</v>
      </c>
      <c r="X90" s="1" t="s">
        <v>253</v>
      </c>
    </row>
    <row r="91" spans="1:24" x14ac:dyDescent="0.2">
      <c r="A91" s="1" t="s">
        <v>115</v>
      </c>
      <c r="B91" s="1" t="s">
        <v>816</v>
      </c>
      <c r="C91" s="1" t="s">
        <v>438</v>
      </c>
      <c r="D91" s="1" t="s">
        <v>480</v>
      </c>
      <c r="E91" s="1"/>
      <c r="F91" s="1" t="s">
        <v>115</v>
      </c>
      <c r="G91" s="1" t="s">
        <v>817</v>
      </c>
      <c r="H91" s="1" t="s">
        <v>497</v>
      </c>
      <c r="I91" s="1" t="s">
        <v>304</v>
      </c>
      <c r="J91" s="1"/>
      <c r="K91" s="1" t="s">
        <v>115</v>
      </c>
      <c r="L91" s="1" t="s">
        <v>535</v>
      </c>
      <c r="M91" s="1" t="s">
        <v>214</v>
      </c>
      <c r="N91" s="1" t="s">
        <v>533</v>
      </c>
      <c r="O91" s="1"/>
      <c r="P91" s="1" t="s">
        <v>115</v>
      </c>
      <c r="Q91" s="1" t="s">
        <v>818</v>
      </c>
      <c r="R91" s="1" t="s">
        <v>204</v>
      </c>
      <c r="S91" s="1" t="s">
        <v>215</v>
      </c>
      <c r="T91" s="1"/>
      <c r="U91" s="1" t="s">
        <v>115</v>
      </c>
      <c r="V91" s="1" t="s">
        <v>536</v>
      </c>
      <c r="W91" s="1" t="s">
        <v>248</v>
      </c>
      <c r="X91" s="1" t="s">
        <v>247</v>
      </c>
    </row>
    <row r="92" spans="1:24" x14ac:dyDescent="0.2">
      <c r="A92" s="1" t="s">
        <v>116</v>
      </c>
      <c r="B92" s="1" t="s">
        <v>819</v>
      </c>
      <c r="C92" s="1" t="s">
        <v>438</v>
      </c>
      <c r="D92" s="1" t="s">
        <v>483</v>
      </c>
      <c r="E92" s="1"/>
      <c r="F92" s="1" t="s">
        <v>116</v>
      </c>
      <c r="G92" s="1" t="s">
        <v>820</v>
      </c>
      <c r="H92" s="1" t="s">
        <v>497</v>
      </c>
      <c r="I92" s="1" t="s">
        <v>309</v>
      </c>
      <c r="J92" s="1"/>
      <c r="K92" s="1" t="s">
        <v>116</v>
      </c>
      <c r="L92" s="1" t="s">
        <v>537</v>
      </c>
      <c r="M92" s="1" t="s">
        <v>221</v>
      </c>
      <c r="N92" s="1" t="s">
        <v>533</v>
      </c>
      <c r="O92" s="1"/>
      <c r="P92" s="1" t="s">
        <v>116</v>
      </c>
      <c r="Q92" s="1" t="s">
        <v>821</v>
      </c>
      <c r="R92" s="1" t="s">
        <v>204</v>
      </c>
      <c r="S92" s="1" t="s">
        <v>222</v>
      </c>
      <c r="T92" s="1"/>
      <c r="U92" s="1" t="s">
        <v>116</v>
      </c>
      <c r="V92" s="1" t="s">
        <v>538</v>
      </c>
      <c r="W92" s="1" t="s">
        <v>243</v>
      </c>
      <c r="X92" s="1" t="s">
        <v>242</v>
      </c>
    </row>
    <row r="93" spans="1:24" x14ac:dyDescent="0.2">
      <c r="A93" s="1" t="s">
        <v>117</v>
      </c>
      <c r="B93" s="1" t="s">
        <v>822</v>
      </c>
      <c r="C93" s="1" t="s">
        <v>438</v>
      </c>
      <c r="D93" s="1" t="s">
        <v>486</v>
      </c>
      <c r="E93" s="1"/>
      <c r="F93" s="1" t="s">
        <v>117</v>
      </c>
      <c r="G93" s="1" t="s">
        <v>823</v>
      </c>
      <c r="H93" s="1" t="s">
        <v>497</v>
      </c>
      <c r="I93" s="1" t="s">
        <v>314</v>
      </c>
      <c r="J93" s="1"/>
      <c r="K93" s="1" t="s">
        <v>117</v>
      </c>
      <c r="L93" s="1" t="s">
        <v>539</v>
      </c>
      <c r="M93" s="1" t="s">
        <v>228</v>
      </c>
      <c r="N93" s="1" t="s">
        <v>533</v>
      </c>
      <c r="O93" s="1"/>
      <c r="P93" s="1" t="s">
        <v>117</v>
      </c>
      <c r="Q93" s="1" t="s">
        <v>824</v>
      </c>
      <c r="R93" s="1" t="s">
        <v>204</v>
      </c>
      <c r="S93" s="1" t="s">
        <v>214</v>
      </c>
      <c r="T93" s="1"/>
      <c r="U93" s="1" t="s">
        <v>117</v>
      </c>
      <c r="V93" s="1" t="s">
        <v>540</v>
      </c>
      <c r="W93" s="1" t="s">
        <v>237</v>
      </c>
      <c r="X93" s="1" t="s">
        <v>236</v>
      </c>
    </row>
    <row r="94" spans="1:24" x14ac:dyDescent="0.2">
      <c r="A94" s="1" t="s">
        <v>118</v>
      </c>
      <c r="B94" s="1" t="s">
        <v>825</v>
      </c>
      <c r="C94" s="1" t="s">
        <v>497</v>
      </c>
      <c r="D94" s="1" t="s">
        <v>475</v>
      </c>
      <c r="E94" s="1"/>
      <c r="F94" s="1" t="s">
        <v>118</v>
      </c>
      <c r="G94" s="1" t="s">
        <v>826</v>
      </c>
      <c r="H94" s="1" t="s">
        <v>228</v>
      </c>
      <c r="I94" s="1" t="s">
        <v>297</v>
      </c>
      <c r="J94" s="1"/>
      <c r="K94" s="1" t="s">
        <v>118</v>
      </c>
      <c r="L94" s="1" t="s">
        <v>541</v>
      </c>
      <c r="M94" s="1" t="s">
        <v>215</v>
      </c>
      <c r="N94" s="1" t="s">
        <v>533</v>
      </c>
      <c r="O94" s="1"/>
      <c r="P94" s="1" t="s">
        <v>118</v>
      </c>
      <c r="Q94" s="1" t="s">
        <v>827</v>
      </c>
      <c r="R94" s="1" t="s">
        <v>204</v>
      </c>
      <c r="S94" s="1" t="s">
        <v>234</v>
      </c>
      <c r="T94" s="1"/>
      <c r="U94" s="1" t="s">
        <v>118</v>
      </c>
      <c r="V94" s="1" t="s">
        <v>542</v>
      </c>
      <c r="W94" s="1" t="s">
        <v>231</v>
      </c>
      <c r="X94" s="1" t="s">
        <v>230</v>
      </c>
    </row>
    <row r="95" spans="1:24" x14ac:dyDescent="0.2">
      <c r="A95" s="1" t="s">
        <v>119</v>
      </c>
      <c r="B95" s="1" t="s">
        <v>828</v>
      </c>
      <c r="C95" s="1" t="s">
        <v>497</v>
      </c>
      <c r="D95" s="1" t="s">
        <v>480</v>
      </c>
      <c r="E95" s="1"/>
      <c r="F95" s="1" t="s">
        <v>119</v>
      </c>
      <c r="G95" s="1" t="s">
        <v>829</v>
      </c>
      <c r="H95" s="1" t="s">
        <v>228</v>
      </c>
      <c r="I95" s="1" t="s">
        <v>304</v>
      </c>
      <c r="J95" s="1"/>
      <c r="K95" s="1" t="s">
        <v>119</v>
      </c>
      <c r="L95" s="1" t="s">
        <v>543</v>
      </c>
      <c r="M95" s="1" t="s">
        <v>222</v>
      </c>
      <c r="N95" s="1" t="s">
        <v>533</v>
      </c>
      <c r="O95" s="1"/>
      <c r="P95" s="1" t="s">
        <v>119</v>
      </c>
      <c r="Q95" s="1" t="s">
        <v>830</v>
      </c>
      <c r="R95" s="1" t="s">
        <v>204</v>
      </c>
      <c r="S95" s="1" t="s">
        <v>240</v>
      </c>
      <c r="T95" s="1"/>
      <c r="U95" s="1" t="s">
        <v>119</v>
      </c>
      <c r="V95" s="1" t="s">
        <v>544</v>
      </c>
      <c r="W95" s="1" t="s">
        <v>225</v>
      </c>
      <c r="X95" s="1" t="s">
        <v>224</v>
      </c>
    </row>
    <row r="96" spans="1:24" x14ac:dyDescent="0.2">
      <c r="A96" s="1" t="s">
        <v>120</v>
      </c>
      <c r="B96" s="1" t="s">
        <v>831</v>
      </c>
      <c r="C96" s="1" t="s">
        <v>497</v>
      </c>
      <c r="D96" s="1" t="s">
        <v>483</v>
      </c>
      <c r="E96" s="1"/>
      <c r="F96" s="1" t="s">
        <v>120</v>
      </c>
      <c r="G96" s="1" t="s">
        <v>832</v>
      </c>
      <c r="H96" s="1" t="s">
        <v>228</v>
      </c>
      <c r="I96" s="1" t="s">
        <v>309</v>
      </c>
      <c r="J96" s="1"/>
      <c r="K96" s="1" t="s">
        <v>120</v>
      </c>
      <c r="L96" s="1" t="s">
        <v>545</v>
      </c>
      <c r="M96" s="1" t="s">
        <v>240</v>
      </c>
      <c r="N96" s="1" t="s">
        <v>533</v>
      </c>
      <c r="O96" s="1"/>
      <c r="P96" s="1" t="s">
        <v>120</v>
      </c>
      <c r="Q96" s="1" t="s">
        <v>833</v>
      </c>
      <c r="R96" s="1" t="s">
        <v>204</v>
      </c>
      <c r="S96" s="1" t="s">
        <v>221</v>
      </c>
      <c r="T96" s="1"/>
      <c r="U96" s="1" t="s">
        <v>120</v>
      </c>
      <c r="V96" s="1" t="s">
        <v>546</v>
      </c>
      <c r="W96" s="1" t="s">
        <v>218</v>
      </c>
      <c r="X96" s="1" t="s">
        <v>217</v>
      </c>
    </row>
    <row r="97" spans="1:24" x14ac:dyDescent="0.2">
      <c r="A97" s="1" t="s">
        <v>121</v>
      </c>
      <c r="B97" s="1" t="s">
        <v>834</v>
      </c>
      <c r="C97" s="1" t="s">
        <v>497</v>
      </c>
      <c r="D97" s="1" t="s">
        <v>486</v>
      </c>
      <c r="E97" s="1"/>
      <c r="F97" s="1" t="s">
        <v>121</v>
      </c>
      <c r="G97" s="1" t="s">
        <v>835</v>
      </c>
      <c r="H97" s="1" t="s">
        <v>228</v>
      </c>
      <c r="I97" s="1" t="s">
        <v>314</v>
      </c>
      <c r="J97" s="1"/>
      <c r="K97" s="1" t="s">
        <v>121</v>
      </c>
      <c r="L97" s="1" t="s">
        <v>547</v>
      </c>
      <c r="M97" s="1" t="s">
        <v>251</v>
      </c>
      <c r="N97" s="1" t="s">
        <v>533</v>
      </c>
      <c r="O97" s="1"/>
      <c r="P97" s="1" t="s">
        <v>121</v>
      </c>
      <c r="Q97" s="1" t="s">
        <v>836</v>
      </c>
      <c r="R97" s="1" t="s">
        <v>204</v>
      </c>
      <c r="S97" s="1" t="s">
        <v>251</v>
      </c>
      <c r="T97" s="1"/>
      <c r="U97" s="1" t="s">
        <v>121</v>
      </c>
      <c r="V97" s="1" t="s">
        <v>548</v>
      </c>
      <c r="W97" s="1" t="s">
        <v>211</v>
      </c>
      <c r="X97" s="1" t="s">
        <v>210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D9FC7-2C13-C14D-AF90-840BE7C58155}">
  <sheetPr codeName="Sheet2"/>
  <dimension ref="A1:P26"/>
  <sheetViews>
    <sheetView workbookViewId="0"/>
  </sheetViews>
  <sheetFormatPr baseColWidth="10" defaultColWidth="11.1640625" defaultRowHeight="16" x14ac:dyDescent="0.2"/>
  <sheetData>
    <row r="1" spans="1:16" ht="17" thickBot="1" x14ac:dyDescent="0.25">
      <c r="A1" s="1"/>
      <c r="B1" s="2" t="s">
        <v>9</v>
      </c>
      <c r="C1" s="40"/>
      <c r="D1" s="40"/>
      <c r="E1" s="40"/>
      <c r="F1" s="2" t="s">
        <v>11</v>
      </c>
      <c r="G1" s="3">
        <f ca="1">TODAY()</f>
        <v>44343</v>
      </c>
      <c r="H1" s="1"/>
      <c r="I1" s="1" t="s">
        <v>12</v>
      </c>
      <c r="J1" s="1"/>
      <c r="K1" s="4"/>
      <c r="L1" s="4"/>
      <c r="M1" s="1"/>
      <c r="N1" s="1"/>
      <c r="O1" s="1"/>
      <c r="P1" s="1"/>
    </row>
    <row r="2" spans="1:16" ht="17" thickBot="1" x14ac:dyDescent="0.25">
      <c r="A2" s="5" t="s">
        <v>13</v>
      </c>
      <c r="B2" s="6">
        <v>1</v>
      </c>
      <c r="C2" s="7">
        <v>2</v>
      </c>
      <c r="D2" s="7">
        <v>3</v>
      </c>
      <c r="E2" s="7">
        <v>4</v>
      </c>
      <c r="F2" s="7">
        <v>5</v>
      </c>
      <c r="G2" s="7">
        <v>6</v>
      </c>
      <c r="H2" s="7">
        <v>7</v>
      </c>
      <c r="I2" s="7">
        <v>8</v>
      </c>
      <c r="J2" s="7">
        <v>9</v>
      </c>
      <c r="K2" s="7">
        <v>10</v>
      </c>
      <c r="L2" s="7">
        <v>11</v>
      </c>
      <c r="M2" s="8">
        <v>12</v>
      </c>
      <c r="N2" s="1"/>
      <c r="O2" s="1"/>
      <c r="P2" s="1"/>
    </row>
    <row r="3" spans="1:16" ht="17" thickBot="1" x14ac:dyDescent="0.25">
      <c r="A3" s="38" t="s">
        <v>1</v>
      </c>
      <c r="B3" s="9"/>
      <c r="C3" s="9" t="e">
        <f>IF('[2]Enter Samples Here'!B10="","",'[2]Enter Samples Here'!B10)</f>
        <v>#REF!</v>
      </c>
      <c r="D3" s="9" t="e">
        <f>IF('[2]Enter Samples Here'!B18="","",'[2]Enter Samples Here'!B18)</f>
        <v>#REF!</v>
      </c>
      <c r="E3" s="9" t="e">
        <f>IF('[2]Enter Samples Here'!B26="","",'[2]Enter Samples Here'!B26)</f>
        <v>#REF!</v>
      </c>
      <c r="F3" s="9" t="e">
        <f>IF('[2]Enter Samples Here'!B34="","",'[2]Enter Samples Here'!B34)</f>
        <v>#REF!</v>
      </c>
      <c r="G3" s="9" t="e">
        <f>IF('[2]Enter Samples Here'!B42="","",'[2]Enter Samples Here'!B42)</f>
        <v>#REF!</v>
      </c>
      <c r="H3" s="9" t="e">
        <f>IF('[2]Enter Samples Here'!B50="","",'[2]Enter Samples Here'!B50)</f>
        <v>#REF!</v>
      </c>
      <c r="I3" s="9" t="e">
        <f>IF('[2]Enter Samples Here'!B58="","",'[2]Enter Samples Here'!B58)</f>
        <v>#REF!</v>
      </c>
      <c r="J3" s="9" t="e">
        <f>IF('[2]Enter Samples Here'!B66="","",'[2]Enter Samples Here'!B66)</f>
        <v>#REF!</v>
      </c>
      <c r="K3" s="9" t="e">
        <f>IF('[2]Enter Samples Here'!B74="","",'[2]Enter Samples Here'!B74)</f>
        <v>#REF!</v>
      </c>
      <c r="L3" s="9" t="e">
        <f>IF('[2]Enter Samples Here'!B82="","",'[2]Enter Samples Here'!B82)</f>
        <v>#REF!</v>
      </c>
      <c r="M3" s="9" t="e">
        <f>IF('[2]Enter Samples Here'!B90="","",'[2]Enter Samples Here'!B90)</f>
        <v>#REF!</v>
      </c>
      <c r="N3" s="1"/>
      <c r="O3" s="10"/>
      <c r="P3" s="1" t="s">
        <v>14</v>
      </c>
    </row>
    <row r="4" spans="1:16" ht="17" thickBot="1" x14ac:dyDescent="0.25">
      <c r="A4" s="38"/>
      <c r="B4" s="11" t="e">
        <f>IF('[2]Plate Map'!B28="","",'[2]Plate Map'!B28)</f>
        <v>#REF!</v>
      </c>
      <c r="C4" s="11" t="e">
        <f>IF('[2]Plate Map'!C28="","",'[2]Plate Map'!C28)</f>
        <v>#REF!</v>
      </c>
      <c r="D4" s="11" t="e">
        <f>IF('[2]Plate Map'!D28="","",'[2]Plate Map'!D28)</f>
        <v>#REF!</v>
      </c>
      <c r="E4" s="11" t="e">
        <f>IF('[2]Plate Map'!E28="","",'[2]Plate Map'!E28)</f>
        <v>#REF!</v>
      </c>
      <c r="F4" s="11" t="e">
        <f>IF('[2]Plate Map'!F28="","",'[2]Plate Map'!F28)</f>
        <v>#REF!</v>
      </c>
      <c r="G4" s="11" t="e">
        <f>IF('[2]Plate Map'!G28="","",'[2]Plate Map'!G28)</f>
        <v>#REF!</v>
      </c>
      <c r="H4" s="11" t="e">
        <f>IF('[2]Plate Map'!H28="","",'[2]Plate Map'!H28)</f>
        <v>#REF!</v>
      </c>
      <c r="I4" s="11" t="e">
        <f>IF('[2]Plate Map'!I28="","",'[2]Plate Map'!I28)</f>
        <v>#REF!</v>
      </c>
      <c r="J4" s="11" t="e">
        <f>IF('[2]Plate Map'!J28="","",'[2]Plate Map'!J28)</f>
        <v>#REF!</v>
      </c>
      <c r="K4" s="11" t="e">
        <f>IF('[2]Plate Map'!K28="","",'[2]Plate Map'!K28)</f>
        <v>#REF!</v>
      </c>
      <c r="L4" s="11" t="e">
        <f>IF('[2]Plate Map'!L28="","",'[2]Plate Map'!L28)</f>
        <v>#REF!</v>
      </c>
      <c r="M4" s="11" t="e">
        <f>IF('[2]Plate Map'!M28="","",'[2]Plate Map'!M28)</f>
        <v>#REF!</v>
      </c>
      <c r="N4" s="1"/>
      <c r="O4" s="12"/>
      <c r="P4" s="1" t="s">
        <v>15</v>
      </c>
    </row>
    <row r="5" spans="1:16" ht="17" thickBot="1" x14ac:dyDescent="0.25">
      <c r="A5" s="38"/>
      <c r="B5" s="13" t="e">
        <f>IF('[2]Enter Samples Here'!I2="","",'[2]Enter Samples Here'!I2)</f>
        <v>#REF!</v>
      </c>
      <c r="C5" s="13" t="e">
        <f>IF('[2]Enter Samples Here'!I10="","",'[2]Enter Samples Here'!I10)</f>
        <v>#REF!</v>
      </c>
      <c r="D5" s="13" t="e">
        <f>IF('[2]Enter Samples Here'!I18="","",'[2]Enter Samples Here'!I18)</f>
        <v>#REF!</v>
      </c>
      <c r="E5" s="13" t="e">
        <f>IF('[2]Enter Samples Here'!I26="","",'[2]Enter Samples Here'!I26)</f>
        <v>#REF!</v>
      </c>
      <c r="F5" s="13" t="e">
        <f>IF('[2]Enter Samples Here'!I34="","",'[2]Enter Samples Here'!I34)</f>
        <v>#REF!</v>
      </c>
      <c r="G5" s="13" t="e">
        <f>IF('[2]Enter Samples Here'!I42="","",'[2]Enter Samples Here'!I42)</f>
        <v>#REF!</v>
      </c>
      <c r="H5" s="13" t="e">
        <f>IF('[2]Enter Samples Here'!I50="","",'[2]Enter Samples Here'!I50)</f>
        <v>#REF!</v>
      </c>
      <c r="I5" s="14" t="e">
        <f>IF('[2]Enter Samples Here'!I58="","",'[2]Enter Samples Here'!I58)</f>
        <v>#REF!</v>
      </c>
      <c r="J5" s="14" t="e">
        <f>IF('[2]Enter Samples Here'!I66="","",'[2]Enter Samples Here'!I66)</f>
        <v>#REF!</v>
      </c>
      <c r="K5" s="14" t="e">
        <f>IF('[2]Enter Samples Here'!I74="","",'[2]Enter Samples Here'!I74)</f>
        <v>#REF!</v>
      </c>
      <c r="L5" s="14" t="e">
        <f>IF('[2]Enter Samples Here'!I82="","",'[2]Enter Samples Here'!I82)</f>
        <v>#REF!</v>
      </c>
      <c r="M5" s="14" t="e">
        <f>IF('[2]Enter Samples Here'!I90="","",'[2]Enter Samples Here'!I90)</f>
        <v>#REF!</v>
      </c>
      <c r="N5" s="1"/>
      <c r="O5" s="15"/>
      <c r="P5" s="1" t="s">
        <v>16</v>
      </c>
    </row>
    <row r="6" spans="1:16" ht="17" thickBot="1" x14ac:dyDescent="0.25">
      <c r="A6" s="38" t="s">
        <v>2</v>
      </c>
      <c r="B6" s="9" t="e">
        <f>IF('[2]Enter Samples Here'!B3="","",'[2]Enter Samples Here'!B3)</f>
        <v>#REF!</v>
      </c>
      <c r="C6" s="9" t="e">
        <f>IF('[2]Enter Samples Here'!B11="","",'[2]Enter Samples Here'!B11)</f>
        <v>#REF!</v>
      </c>
      <c r="D6" s="9" t="e">
        <f>IF('[2]Enter Samples Here'!B19="","",'[2]Enter Samples Here'!B19)</f>
        <v>#REF!</v>
      </c>
      <c r="E6" s="9" t="e">
        <f>IF('[2]Enter Samples Here'!B27="","",'[2]Enter Samples Here'!B27)</f>
        <v>#REF!</v>
      </c>
      <c r="F6" s="9" t="e">
        <f>IF('[2]Enter Samples Here'!B35="","",'[2]Enter Samples Here'!B35)</f>
        <v>#REF!</v>
      </c>
      <c r="G6" s="9" t="e">
        <f>IF('[2]Enter Samples Here'!B43="","",'[2]Enter Samples Here'!B43)</f>
        <v>#REF!</v>
      </c>
      <c r="H6" s="9" t="e">
        <f>IF('[2]Enter Samples Here'!B51="","",'[2]Enter Samples Here'!B51)</f>
        <v>#REF!</v>
      </c>
      <c r="I6" s="9" t="e">
        <f>IF('[2]Enter Samples Here'!B59="","",'[2]Enter Samples Here'!B59)</f>
        <v>#REF!</v>
      </c>
      <c r="J6" s="9" t="e">
        <f>IF('[2]Enter Samples Here'!B67="","",'[2]Enter Samples Here'!B67)</f>
        <v>#REF!</v>
      </c>
      <c r="K6" s="9" t="e">
        <f>IF('[2]Enter Samples Here'!B75="","",'[2]Enter Samples Here'!B75)</f>
        <v>#REF!</v>
      </c>
      <c r="L6" s="9" t="e">
        <f>IF('[2]Enter Samples Here'!B83="","",'[2]Enter Samples Here'!B83)</f>
        <v>#REF!</v>
      </c>
      <c r="M6" s="9" t="e">
        <f>IF('[2]Enter Samples Here'!B91="","",'[2]Enter Samples Here'!B91)</f>
        <v>#REF!</v>
      </c>
      <c r="N6" s="1"/>
      <c r="O6" s="1"/>
      <c r="P6" s="1"/>
    </row>
    <row r="7" spans="1:16" ht="17" thickBot="1" x14ac:dyDescent="0.25">
      <c r="A7" s="38"/>
      <c r="B7" s="11" t="e">
        <f>IF('[2]Plate Map'!B29="","",'[2]Plate Map'!B29)</f>
        <v>#REF!</v>
      </c>
      <c r="C7" s="11" t="e">
        <f>IF('[2]Plate Map'!C29="","",'[2]Plate Map'!C29)</f>
        <v>#REF!</v>
      </c>
      <c r="D7" s="11" t="e">
        <f>IF('[2]Plate Map'!D29="","",'[2]Plate Map'!D29)</f>
        <v>#REF!</v>
      </c>
      <c r="E7" s="11" t="e">
        <f>IF('[2]Plate Map'!E29="","",'[2]Plate Map'!E29)</f>
        <v>#REF!</v>
      </c>
      <c r="F7" s="11" t="e">
        <f>IF('[2]Plate Map'!F29="","",'[2]Plate Map'!F29)</f>
        <v>#REF!</v>
      </c>
      <c r="G7" s="11" t="e">
        <f>IF('[2]Plate Map'!G29="","",'[2]Plate Map'!G29)</f>
        <v>#REF!</v>
      </c>
      <c r="H7" s="11" t="e">
        <f>IF('[2]Plate Map'!H29="","",'[2]Plate Map'!H29)</f>
        <v>#REF!</v>
      </c>
      <c r="I7" s="11" t="e">
        <f>IF('[2]Plate Map'!I29="","",'[2]Plate Map'!I29)</f>
        <v>#REF!</v>
      </c>
      <c r="J7" s="11" t="e">
        <f>IF('[2]Plate Map'!J29="","",'[2]Plate Map'!J29)</f>
        <v>#REF!</v>
      </c>
      <c r="K7" s="11" t="e">
        <f>IF('[2]Plate Map'!K29="","",'[2]Plate Map'!K29)</f>
        <v>#REF!</v>
      </c>
      <c r="L7" s="11" t="e">
        <f>IF('[2]Plate Map'!L29="","",'[2]Plate Map'!L29)</f>
        <v>#REF!</v>
      </c>
      <c r="M7" s="11" t="e">
        <f>IF('[2]Plate Map'!M29="","",'[2]Plate Map'!M29)</f>
        <v>#REF!</v>
      </c>
      <c r="N7" s="1"/>
      <c r="O7" s="1"/>
      <c r="P7" s="1"/>
    </row>
    <row r="8" spans="1:16" ht="17" thickBot="1" x14ac:dyDescent="0.25">
      <c r="A8" s="38"/>
      <c r="B8" s="13" t="e">
        <f>IF('[2]Enter Samples Here'!I3="","",'[2]Enter Samples Here'!I3)</f>
        <v>#REF!</v>
      </c>
      <c r="C8" s="13" t="e">
        <f>IF('[2]Enter Samples Here'!I11="","",'[2]Enter Samples Here'!I11)</f>
        <v>#REF!</v>
      </c>
      <c r="D8" s="13" t="e">
        <f>IF('[2]Enter Samples Here'!I19="","",'[2]Enter Samples Here'!I19)</f>
        <v>#REF!</v>
      </c>
      <c r="E8" s="13" t="e">
        <f>IF('[2]Enter Samples Here'!I27="","",'[2]Enter Samples Here'!I27)</f>
        <v>#REF!</v>
      </c>
      <c r="F8" s="13" t="e">
        <f>IF('[2]Enter Samples Here'!I35="","",'[2]Enter Samples Here'!I35)</f>
        <v>#REF!</v>
      </c>
      <c r="G8" s="13" t="e">
        <f>IF('[2]Enter Samples Here'!I43="","",'[2]Enter Samples Here'!I43)</f>
        <v>#REF!</v>
      </c>
      <c r="H8" s="13" t="e">
        <f>IF('[2]Enter Samples Here'!I51="","",'[2]Enter Samples Here'!I51)</f>
        <v>#REF!</v>
      </c>
      <c r="I8" s="14" t="e">
        <f>IF('[2]Enter Samples Here'!I59="","",'[2]Enter Samples Here'!I59)</f>
        <v>#REF!</v>
      </c>
      <c r="J8" s="14" t="e">
        <f>IF('[2]Enter Samples Here'!I67="","",'[2]Enter Samples Here'!I67)</f>
        <v>#REF!</v>
      </c>
      <c r="K8" s="14" t="e">
        <f>IF('[2]Enter Samples Here'!I75="","",'[2]Enter Samples Here'!I75)</f>
        <v>#REF!</v>
      </c>
      <c r="L8" s="14" t="e">
        <f>IF('[2]Enter Samples Here'!I83="","",'[2]Enter Samples Here'!I83)</f>
        <v>#REF!</v>
      </c>
      <c r="M8" s="14" t="e">
        <f>IF('[2]Enter Samples Here'!I91="","",'[2]Enter Samples Here'!I91)</f>
        <v>#REF!</v>
      </c>
      <c r="N8" s="1"/>
      <c r="O8" s="1"/>
      <c r="P8" s="1"/>
    </row>
    <row r="9" spans="1:16" ht="17" thickBot="1" x14ac:dyDescent="0.25">
      <c r="A9" s="38" t="s">
        <v>3</v>
      </c>
      <c r="B9" s="9" t="e">
        <f>IF('[2]Enter Samples Here'!B4="","",'[2]Enter Samples Here'!B4)</f>
        <v>#REF!</v>
      </c>
      <c r="C9" s="9" t="e">
        <f>IF('[2]Enter Samples Here'!B12="","",'[2]Enter Samples Here'!B12)</f>
        <v>#REF!</v>
      </c>
      <c r="D9" s="9" t="e">
        <f>IF('[2]Enter Samples Here'!B20="","",'[2]Enter Samples Here'!B20)</f>
        <v>#REF!</v>
      </c>
      <c r="E9" s="9" t="e">
        <f>IF('[2]Enter Samples Here'!B28="","",'[2]Enter Samples Here'!B28)</f>
        <v>#REF!</v>
      </c>
      <c r="F9" s="9" t="e">
        <f>IF('[2]Enter Samples Here'!B36="","",'[2]Enter Samples Here'!B36)</f>
        <v>#REF!</v>
      </c>
      <c r="G9" s="9" t="e">
        <f>IF('[2]Enter Samples Here'!B44="","",'[2]Enter Samples Here'!B44)</f>
        <v>#REF!</v>
      </c>
      <c r="H9" s="9" t="e">
        <f>IF('[2]Enter Samples Here'!B52="","",'[2]Enter Samples Here'!B52)</f>
        <v>#REF!</v>
      </c>
      <c r="I9" s="9" t="e">
        <f>IF('[2]Enter Samples Here'!B60="","",'[2]Enter Samples Here'!B60)</f>
        <v>#REF!</v>
      </c>
      <c r="J9" s="9" t="e">
        <f>IF('[2]Enter Samples Here'!B68="","",'[2]Enter Samples Here'!B68)</f>
        <v>#REF!</v>
      </c>
      <c r="K9" s="9" t="e">
        <f>IF('[2]Enter Samples Here'!B76="","",'[2]Enter Samples Here'!B76)</f>
        <v>#REF!</v>
      </c>
      <c r="L9" s="9" t="e">
        <f>IF('[2]Enter Samples Here'!B84="","",'[2]Enter Samples Here'!B84)</f>
        <v>#REF!</v>
      </c>
      <c r="M9" s="9" t="e">
        <f>IF('[2]Enter Samples Here'!B92="","",'[2]Enter Samples Here'!B92)</f>
        <v>#REF!</v>
      </c>
      <c r="N9" s="1"/>
      <c r="O9" s="1"/>
      <c r="P9" s="1"/>
    </row>
    <row r="10" spans="1:16" ht="17" thickBot="1" x14ac:dyDescent="0.25">
      <c r="A10" s="38"/>
      <c r="B10" s="11" t="e">
        <f>IF('[2]Plate Map'!B30="","",'[2]Plate Map'!B30)</f>
        <v>#REF!</v>
      </c>
      <c r="C10" s="11" t="e">
        <f>IF('[2]Plate Map'!C30="","",'[2]Plate Map'!C30)</f>
        <v>#REF!</v>
      </c>
      <c r="D10" s="11" t="e">
        <f>IF('[2]Plate Map'!D30="","",'[2]Plate Map'!D30)</f>
        <v>#REF!</v>
      </c>
      <c r="E10" s="11" t="e">
        <f>IF('[2]Plate Map'!E30="","",'[2]Plate Map'!E30)</f>
        <v>#REF!</v>
      </c>
      <c r="F10" s="11" t="e">
        <f>IF('[2]Plate Map'!F30="","",'[2]Plate Map'!F30)</f>
        <v>#REF!</v>
      </c>
      <c r="G10" s="11" t="e">
        <f>IF('[2]Plate Map'!G30="","",'[2]Plate Map'!G30)</f>
        <v>#REF!</v>
      </c>
      <c r="H10" s="11" t="e">
        <f>IF('[2]Plate Map'!H30="","",'[2]Plate Map'!H30)</f>
        <v>#REF!</v>
      </c>
      <c r="I10" s="11" t="e">
        <f>IF('[2]Plate Map'!I30="","",'[2]Plate Map'!I30)</f>
        <v>#REF!</v>
      </c>
      <c r="J10" s="11" t="e">
        <f>IF('[2]Plate Map'!J30="","",'[2]Plate Map'!J30)</f>
        <v>#REF!</v>
      </c>
      <c r="K10" s="11" t="e">
        <f>IF('[2]Plate Map'!K30="","",'[2]Plate Map'!K30)</f>
        <v>#REF!</v>
      </c>
      <c r="L10" s="11" t="e">
        <f>IF('[2]Plate Map'!L30="","",'[2]Plate Map'!L30)</f>
        <v>#REF!</v>
      </c>
      <c r="M10" s="11" t="e">
        <f>IF('[2]Plate Map'!M30="","",'[2]Plate Map'!M30)</f>
        <v>#REF!</v>
      </c>
      <c r="N10" s="1"/>
      <c r="O10" s="1"/>
      <c r="P10" s="1"/>
    </row>
    <row r="11" spans="1:16" ht="17" thickBot="1" x14ac:dyDescent="0.25">
      <c r="A11" s="38"/>
      <c r="B11" s="13" t="e">
        <f>IF('[2]Enter Samples Here'!I4="","",'[2]Enter Samples Here'!I4)</f>
        <v>#REF!</v>
      </c>
      <c r="C11" s="13" t="e">
        <f>IF('[2]Enter Samples Here'!I12="","",'[2]Enter Samples Here'!I12)</f>
        <v>#REF!</v>
      </c>
      <c r="D11" s="13" t="e">
        <f>IF('[2]Enter Samples Here'!I20="","",'[2]Enter Samples Here'!I20)</f>
        <v>#REF!</v>
      </c>
      <c r="E11" s="13" t="e">
        <f>IF('[2]Enter Samples Here'!I28="","",'[2]Enter Samples Here'!I28)</f>
        <v>#REF!</v>
      </c>
      <c r="F11" s="13" t="e">
        <f>IF('[2]Enter Samples Here'!I36="","",'[2]Enter Samples Here'!I36)</f>
        <v>#REF!</v>
      </c>
      <c r="G11" s="13" t="e">
        <f>IF('[2]Enter Samples Here'!I44="","",'[2]Enter Samples Here'!I44)</f>
        <v>#REF!</v>
      </c>
      <c r="H11" s="14" t="e">
        <f>IF('[2]Enter Samples Here'!I52="","",'[2]Enter Samples Here'!I52)</f>
        <v>#REF!</v>
      </c>
      <c r="I11" s="14" t="e">
        <f>IF('[2]Enter Samples Here'!I60="","",'[2]Enter Samples Here'!I60)</f>
        <v>#REF!</v>
      </c>
      <c r="J11" s="14" t="e">
        <f>IF('[2]Enter Samples Here'!I68="","",'[2]Enter Samples Here'!I68)</f>
        <v>#REF!</v>
      </c>
      <c r="K11" s="14" t="e">
        <f>IF('[2]Enter Samples Here'!I76="","",'[2]Enter Samples Here'!I76)</f>
        <v>#REF!</v>
      </c>
      <c r="L11" s="14" t="e">
        <f>IF('[2]Enter Samples Here'!I84="","",'[2]Enter Samples Here'!I84)</f>
        <v>#REF!</v>
      </c>
      <c r="M11" s="14" t="e">
        <f>IF('[2]Enter Samples Here'!I92="","",'[2]Enter Samples Here'!I92)</f>
        <v>#REF!</v>
      </c>
      <c r="N11" s="1"/>
      <c r="O11" s="1"/>
      <c r="P11" s="1"/>
    </row>
    <row r="12" spans="1:16" ht="17" thickBot="1" x14ac:dyDescent="0.25">
      <c r="A12" s="38" t="s">
        <v>4</v>
      </c>
      <c r="B12" s="9" t="e">
        <f>IF('[2]Enter Samples Here'!B5="","",'[2]Enter Samples Here'!B5)</f>
        <v>#REF!</v>
      </c>
      <c r="C12" s="9" t="e">
        <f>IF('[2]Enter Samples Here'!B13="","",'[2]Enter Samples Here'!B13)</f>
        <v>#REF!</v>
      </c>
      <c r="D12" s="9" t="e">
        <f>IF('[2]Enter Samples Here'!B21="","",'[2]Enter Samples Here'!B21)</f>
        <v>#REF!</v>
      </c>
      <c r="E12" s="9" t="e">
        <f>IF('[2]Enter Samples Here'!B29="","",'[2]Enter Samples Here'!B29)</f>
        <v>#REF!</v>
      </c>
      <c r="F12" s="9" t="e">
        <f>IF('[2]Enter Samples Here'!B37="","",'[2]Enter Samples Here'!B37)</f>
        <v>#REF!</v>
      </c>
      <c r="G12" s="9" t="e">
        <f>IF('[2]Enter Samples Here'!B45="","",'[2]Enter Samples Here'!B45)</f>
        <v>#REF!</v>
      </c>
      <c r="H12" s="9" t="e">
        <f>IF('[2]Enter Samples Here'!B53="","",'[2]Enter Samples Here'!B53)</f>
        <v>#REF!</v>
      </c>
      <c r="I12" s="9" t="e">
        <f>IF('[2]Enter Samples Here'!B61="","",'[2]Enter Samples Here'!B61)</f>
        <v>#REF!</v>
      </c>
      <c r="J12" s="9" t="e">
        <f>IF('[2]Enter Samples Here'!B69="","",'[2]Enter Samples Here'!B69)</f>
        <v>#REF!</v>
      </c>
      <c r="K12" s="9" t="e">
        <f>IF('[2]Enter Samples Here'!B77="","",'[2]Enter Samples Here'!B77)</f>
        <v>#REF!</v>
      </c>
      <c r="L12" s="9" t="e">
        <f>IF('[2]Enter Samples Here'!B85="","",'[2]Enter Samples Here'!B85)</f>
        <v>#REF!</v>
      </c>
      <c r="M12" s="9" t="e">
        <f>IF('[2]Enter Samples Here'!B93="","",'[2]Enter Samples Here'!B93)</f>
        <v>#REF!</v>
      </c>
      <c r="N12" s="1"/>
      <c r="O12" s="1"/>
      <c r="P12" s="1"/>
    </row>
    <row r="13" spans="1:16" ht="17" thickBot="1" x14ac:dyDescent="0.25">
      <c r="A13" s="38"/>
      <c r="B13" s="11" t="e">
        <f>IF('[2]Plate Map'!B31="","",'[2]Plate Map'!B31)</f>
        <v>#REF!</v>
      </c>
      <c r="C13" s="11" t="e">
        <f>IF('[2]Plate Map'!C31="","",'[2]Plate Map'!C31)</f>
        <v>#REF!</v>
      </c>
      <c r="D13" s="11" t="e">
        <f>IF('[2]Plate Map'!D31="","",'[2]Plate Map'!D31)</f>
        <v>#REF!</v>
      </c>
      <c r="E13" s="11" t="e">
        <f>IF('[2]Plate Map'!E31="","",'[2]Plate Map'!E31)</f>
        <v>#REF!</v>
      </c>
      <c r="F13" s="11" t="e">
        <f>IF('[2]Plate Map'!F31="","",'[2]Plate Map'!F31)</f>
        <v>#REF!</v>
      </c>
      <c r="G13" s="11" t="e">
        <f>IF('[2]Plate Map'!G31="","",'[2]Plate Map'!G31)</f>
        <v>#REF!</v>
      </c>
      <c r="H13" s="11" t="e">
        <f>IF('[2]Plate Map'!H31="","",'[2]Plate Map'!H31)</f>
        <v>#REF!</v>
      </c>
      <c r="I13" s="11" t="e">
        <f>IF('[2]Plate Map'!I31="","",'[2]Plate Map'!I31)</f>
        <v>#REF!</v>
      </c>
      <c r="J13" s="11" t="e">
        <f>IF('[2]Plate Map'!J31="","",'[2]Plate Map'!J31)</f>
        <v>#REF!</v>
      </c>
      <c r="K13" s="11" t="e">
        <f>IF('[2]Plate Map'!K31="","",'[2]Plate Map'!K31)</f>
        <v>#REF!</v>
      </c>
      <c r="L13" s="11" t="e">
        <f>IF('[2]Plate Map'!L31="","",'[2]Plate Map'!L31)</f>
        <v>#REF!</v>
      </c>
      <c r="M13" s="11" t="e">
        <f>IF('[2]Plate Map'!M31="","",'[2]Plate Map'!M31)</f>
        <v>#REF!</v>
      </c>
      <c r="N13" s="1"/>
      <c r="O13" s="1"/>
      <c r="P13" s="1"/>
    </row>
    <row r="14" spans="1:16" ht="17" thickBot="1" x14ac:dyDescent="0.25">
      <c r="A14" s="38"/>
      <c r="B14" s="13" t="e">
        <f>IF('[2]Enter Samples Here'!I5="","",'[2]Enter Samples Here'!I5)</f>
        <v>#REF!</v>
      </c>
      <c r="C14" s="13" t="e">
        <f>IF('[2]Enter Samples Here'!I13="","",'[2]Enter Samples Here'!I13)</f>
        <v>#REF!</v>
      </c>
      <c r="D14" s="13" t="e">
        <f>IF('[2]Enter Samples Here'!I21="","",'[2]Enter Samples Here'!I21)</f>
        <v>#REF!</v>
      </c>
      <c r="E14" s="13" t="e">
        <f>IF('[2]Enter Samples Here'!I29="","",'[2]Enter Samples Here'!I29)</f>
        <v>#REF!</v>
      </c>
      <c r="F14" s="13" t="e">
        <f>IF('[2]Enter Samples Here'!I37="","",'[2]Enter Samples Here'!I37)</f>
        <v>#REF!</v>
      </c>
      <c r="G14" s="13" t="e">
        <f>IF('[2]Enter Samples Here'!I45="","",'[2]Enter Samples Here'!I45)</f>
        <v>#REF!</v>
      </c>
      <c r="H14" s="14" t="e">
        <f>IF('[2]Enter Samples Here'!I53="","",'[2]Enter Samples Here'!I53)</f>
        <v>#REF!</v>
      </c>
      <c r="I14" s="14" t="e">
        <f>IF('[2]Enter Samples Here'!I61="","",'[2]Enter Samples Here'!I61)</f>
        <v>#REF!</v>
      </c>
      <c r="J14" s="14" t="e">
        <f>IF('[2]Enter Samples Here'!I69="","",'[2]Enter Samples Here'!I69)</f>
        <v>#REF!</v>
      </c>
      <c r="K14" s="14" t="e">
        <f>IF('[2]Enter Samples Here'!I77="","",'[2]Enter Samples Here'!I77)</f>
        <v>#REF!</v>
      </c>
      <c r="L14" s="14" t="e">
        <f>IF('[2]Enter Samples Here'!I85="","",'[2]Enter Samples Here'!I85)</f>
        <v>#REF!</v>
      </c>
      <c r="M14" s="14" t="e">
        <f>IF('[2]Enter Samples Here'!I93="","",'[2]Enter Samples Here'!I93)</f>
        <v>#REF!</v>
      </c>
      <c r="N14" s="1"/>
      <c r="O14" s="1"/>
      <c r="P14" s="1"/>
    </row>
    <row r="15" spans="1:16" ht="17" thickBot="1" x14ac:dyDescent="0.25">
      <c r="A15" s="38" t="s">
        <v>5</v>
      </c>
      <c r="B15" s="9" t="e">
        <f>IF('[2]Enter Samples Here'!B6="","",'[2]Enter Samples Here'!B6)</f>
        <v>#REF!</v>
      </c>
      <c r="C15" s="9" t="e">
        <f>IF('[2]Enter Samples Here'!B14="","",'[2]Enter Samples Here'!B14)</f>
        <v>#REF!</v>
      </c>
      <c r="D15" s="9" t="e">
        <f>IF('[2]Enter Samples Here'!B22="","",'[2]Enter Samples Here'!B22)</f>
        <v>#REF!</v>
      </c>
      <c r="E15" s="9" t="e">
        <f>IF('[2]Enter Samples Here'!B30="","",'[2]Enter Samples Here'!B30)</f>
        <v>#REF!</v>
      </c>
      <c r="F15" s="9" t="e">
        <f>IF('[2]Enter Samples Here'!B38="","",'[2]Enter Samples Here'!B38)</f>
        <v>#REF!</v>
      </c>
      <c r="G15" s="9" t="e">
        <f>IF('[2]Enter Samples Here'!B46="","",'[2]Enter Samples Here'!B46)</f>
        <v>#REF!</v>
      </c>
      <c r="H15" s="9" t="e">
        <f>IF('[2]Enter Samples Here'!B54="","",'[2]Enter Samples Here'!B54)</f>
        <v>#REF!</v>
      </c>
      <c r="I15" s="9" t="e">
        <f>IF('[2]Enter Samples Here'!B62="","",'[2]Enter Samples Here'!B62)</f>
        <v>#REF!</v>
      </c>
      <c r="J15" s="9" t="e">
        <f>IF('[2]Enter Samples Here'!B70="","",'[2]Enter Samples Here'!B70)</f>
        <v>#REF!</v>
      </c>
      <c r="K15" s="9" t="e">
        <f>IF('[2]Enter Samples Here'!B78="","",'[2]Enter Samples Here'!B78)</f>
        <v>#REF!</v>
      </c>
      <c r="L15" s="9" t="e">
        <f>IF('[2]Enter Samples Here'!B86="","",'[2]Enter Samples Here'!B86)</f>
        <v>#REF!</v>
      </c>
      <c r="M15" s="9" t="e">
        <f>IF('[2]Enter Samples Here'!B94="","",'[2]Enter Samples Here'!B94)</f>
        <v>#REF!</v>
      </c>
      <c r="N15" s="1"/>
      <c r="O15" s="1"/>
      <c r="P15" s="1"/>
    </row>
    <row r="16" spans="1:16" ht="17" thickBot="1" x14ac:dyDescent="0.25">
      <c r="A16" s="38"/>
      <c r="B16" s="11" t="e">
        <f>IF('[2]Plate Map'!B32="","",'[2]Plate Map'!B32)</f>
        <v>#REF!</v>
      </c>
      <c r="C16" s="11" t="e">
        <f>IF('[2]Plate Map'!C32="","",'[2]Plate Map'!C32)</f>
        <v>#REF!</v>
      </c>
      <c r="D16" s="11" t="e">
        <f>IF('[2]Plate Map'!D32="","",'[2]Plate Map'!D32)</f>
        <v>#REF!</v>
      </c>
      <c r="E16" s="11" t="e">
        <f>IF('[2]Plate Map'!E32="","",'[2]Plate Map'!E32)</f>
        <v>#REF!</v>
      </c>
      <c r="F16" s="11" t="e">
        <f>IF('[2]Plate Map'!F32="","",'[2]Plate Map'!F32)</f>
        <v>#REF!</v>
      </c>
      <c r="G16" s="11" t="e">
        <f>IF('[2]Plate Map'!G32="","",'[2]Plate Map'!G32)</f>
        <v>#REF!</v>
      </c>
      <c r="H16" s="11" t="e">
        <f>IF('[2]Plate Map'!H32="","",'[2]Plate Map'!H32)</f>
        <v>#REF!</v>
      </c>
      <c r="I16" s="11" t="e">
        <f>IF('[2]Plate Map'!I32="","",'[2]Plate Map'!I32)</f>
        <v>#REF!</v>
      </c>
      <c r="J16" s="11" t="e">
        <f>IF('[2]Plate Map'!J32="","",'[2]Plate Map'!J32)</f>
        <v>#REF!</v>
      </c>
      <c r="K16" s="11" t="e">
        <f>IF('[2]Plate Map'!K32="","",'[2]Plate Map'!K32)</f>
        <v>#REF!</v>
      </c>
      <c r="L16" s="11" t="e">
        <f>IF('[2]Plate Map'!L32="","",'[2]Plate Map'!L32)</f>
        <v>#REF!</v>
      </c>
      <c r="M16" s="11" t="e">
        <f>IF('[2]Plate Map'!M32="","",'[2]Plate Map'!M32)</f>
        <v>#REF!</v>
      </c>
      <c r="N16" s="1"/>
      <c r="O16" s="1"/>
      <c r="P16" s="1"/>
    </row>
    <row r="17" spans="1:16" ht="17" thickBot="1" x14ac:dyDescent="0.25">
      <c r="A17" s="38"/>
      <c r="B17" s="13" t="e">
        <f>IF('[2]Enter Samples Here'!I6="","",'[2]Enter Samples Here'!I6)</f>
        <v>#REF!</v>
      </c>
      <c r="C17" s="13" t="e">
        <f>IF('[2]Enter Samples Here'!I14="","",'[2]Enter Samples Here'!I14)</f>
        <v>#REF!</v>
      </c>
      <c r="D17" s="13" t="e">
        <f>IF('[2]Enter Samples Here'!I22="","",'[2]Enter Samples Here'!I22)</f>
        <v>#REF!</v>
      </c>
      <c r="E17" s="13" t="e">
        <f>IF('[2]Enter Samples Here'!I30="","",'[2]Enter Samples Here'!I30)</f>
        <v>#REF!</v>
      </c>
      <c r="F17" s="13" t="e">
        <f>IF('[2]Enter Samples Here'!I38="","",'[2]Enter Samples Here'!I38)</f>
        <v>#REF!</v>
      </c>
      <c r="G17" s="13" t="e">
        <f>IF('[2]Enter Samples Here'!I46="","",'[2]Enter Samples Here'!I46)</f>
        <v>#REF!</v>
      </c>
      <c r="H17" s="14" t="e">
        <f>IF('[2]Enter Samples Here'!I54="","",'[2]Enter Samples Here'!I54)</f>
        <v>#REF!</v>
      </c>
      <c r="I17" s="14" t="e">
        <f>IF('[2]Enter Samples Here'!I62="","",'[2]Enter Samples Here'!I62)</f>
        <v>#REF!</v>
      </c>
      <c r="J17" s="14" t="e">
        <f>IF('[2]Enter Samples Here'!I70="","",'[2]Enter Samples Here'!I70)</f>
        <v>#REF!</v>
      </c>
      <c r="K17" s="14" t="e">
        <f>IF('[2]Enter Samples Here'!I78="","",'[2]Enter Samples Here'!I78)</f>
        <v>#REF!</v>
      </c>
      <c r="L17" s="14" t="e">
        <f>IF('[2]Enter Samples Here'!I86="","",'[2]Enter Samples Here'!I86)</f>
        <v>#REF!</v>
      </c>
      <c r="M17" s="14" t="e">
        <f>IF('[2]Enter Samples Here'!I94="","",'[2]Enter Samples Here'!I94)</f>
        <v>#REF!</v>
      </c>
      <c r="N17" s="1"/>
      <c r="O17" s="1"/>
      <c r="P17" s="1"/>
    </row>
    <row r="18" spans="1:16" ht="17" thickBot="1" x14ac:dyDescent="0.25">
      <c r="A18" s="38" t="s">
        <v>6</v>
      </c>
      <c r="B18" s="9" t="e">
        <f>IF('[2]Enter Samples Here'!B7="","",'[2]Enter Samples Here'!B7)</f>
        <v>#REF!</v>
      </c>
      <c r="C18" s="9" t="e">
        <f>IF('[2]Enter Samples Here'!B15="","",'[2]Enter Samples Here'!B15)</f>
        <v>#REF!</v>
      </c>
      <c r="D18" s="9" t="e">
        <f>IF('[2]Enter Samples Here'!B23="","",'[2]Enter Samples Here'!B23)</f>
        <v>#REF!</v>
      </c>
      <c r="E18" s="9" t="e">
        <f>IF('[2]Enter Samples Here'!B31="","",'[2]Enter Samples Here'!B31)</f>
        <v>#REF!</v>
      </c>
      <c r="F18" s="9" t="e">
        <f>IF('[2]Enter Samples Here'!B39="","",'[2]Enter Samples Here'!B39)</f>
        <v>#REF!</v>
      </c>
      <c r="G18" s="9" t="e">
        <f>IF('[2]Enter Samples Here'!B47="","",'[2]Enter Samples Here'!B47)</f>
        <v>#REF!</v>
      </c>
      <c r="H18" s="9" t="e">
        <f>IF('[2]Enter Samples Here'!B55="","",'[2]Enter Samples Here'!B55)</f>
        <v>#REF!</v>
      </c>
      <c r="I18" s="9" t="e">
        <f>IF('[2]Enter Samples Here'!B63="","",'[2]Enter Samples Here'!B63)</f>
        <v>#REF!</v>
      </c>
      <c r="J18" s="9" t="e">
        <f>IF('[2]Enter Samples Here'!B71="","",'[2]Enter Samples Here'!B71)</f>
        <v>#REF!</v>
      </c>
      <c r="K18" s="9" t="e">
        <f>IF('[2]Enter Samples Here'!B79="","",'[2]Enter Samples Here'!B79)</f>
        <v>#REF!</v>
      </c>
      <c r="L18" s="9" t="e">
        <f>IF('[2]Enter Samples Here'!B87="","",'[2]Enter Samples Here'!B87)</f>
        <v>#REF!</v>
      </c>
      <c r="M18" s="9" t="e">
        <f>IF('[2]Enter Samples Here'!B95="","",'[2]Enter Samples Here'!B95)</f>
        <v>#REF!</v>
      </c>
      <c r="N18" s="1"/>
      <c r="O18" s="1"/>
      <c r="P18" s="1"/>
    </row>
    <row r="19" spans="1:16" ht="17" thickBot="1" x14ac:dyDescent="0.25">
      <c r="A19" s="38"/>
      <c r="B19" s="11" t="e">
        <f>IF('[2]Plate Map'!B33="","",'[2]Plate Map'!B33)</f>
        <v>#REF!</v>
      </c>
      <c r="C19" s="11" t="e">
        <f>IF('[2]Plate Map'!C33="","",'[2]Plate Map'!C33)</f>
        <v>#REF!</v>
      </c>
      <c r="D19" s="11" t="e">
        <f>IF('[2]Plate Map'!D33="","",'[2]Plate Map'!D33)</f>
        <v>#REF!</v>
      </c>
      <c r="E19" s="11" t="e">
        <f>IF('[2]Plate Map'!E33="","",'[2]Plate Map'!E33)</f>
        <v>#REF!</v>
      </c>
      <c r="F19" s="11" t="e">
        <f>IF('[2]Plate Map'!F33="","",'[2]Plate Map'!F33)</f>
        <v>#REF!</v>
      </c>
      <c r="G19" s="11" t="e">
        <f>IF('[2]Plate Map'!G33="","",'[2]Plate Map'!G33)</f>
        <v>#REF!</v>
      </c>
      <c r="H19" s="11" t="e">
        <f>IF('[2]Plate Map'!H33="","",'[2]Plate Map'!H33)</f>
        <v>#REF!</v>
      </c>
      <c r="I19" s="11" t="e">
        <f>IF('[2]Plate Map'!I33="","",'[2]Plate Map'!I33)</f>
        <v>#REF!</v>
      </c>
      <c r="J19" s="11" t="e">
        <f>IF('[2]Plate Map'!J33="","",'[2]Plate Map'!J33)</f>
        <v>#REF!</v>
      </c>
      <c r="K19" s="11" t="e">
        <f>IF('[2]Plate Map'!K33="","",'[2]Plate Map'!K33)</f>
        <v>#REF!</v>
      </c>
      <c r="L19" s="11" t="e">
        <f>IF('[2]Plate Map'!L33="","",'[2]Plate Map'!L33)</f>
        <v>#REF!</v>
      </c>
      <c r="M19" s="11" t="e">
        <f>IF('[2]Plate Map'!M33="","",'[2]Plate Map'!M33)</f>
        <v>#REF!</v>
      </c>
      <c r="N19" s="1"/>
      <c r="O19" s="1"/>
      <c r="P19" s="1"/>
    </row>
    <row r="20" spans="1:16" ht="17" thickBot="1" x14ac:dyDescent="0.25">
      <c r="A20" s="38"/>
      <c r="B20" s="13" t="e">
        <f>IF('[2]Enter Samples Here'!I7="","",'[2]Enter Samples Here'!I7)</f>
        <v>#REF!</v>
      </c>
      <c r="C20" s="13" t="e">
        <f>IF('[2]Enter Samples Here'!I15="","",'[2]Enter Samples Here'!I15)</f>
        <v>#REF!</v>
      </c>
      <c r="D20" s="13" t="e">
        <f>IF('[2]Enter Samples Here'!I23="","",'[2]Enter Samples Here'!I23)</f>
        <v>#REF!</v>
      </c>
      <c r="E20" s="13" t="e">
        <f>IF('[2]Enter Samples Here'!I31="","",'[2]Enter Samples Here'!I31)</f>
        <v>#REF!</v>
      </c>
      <c r="F20" s="13" t="e">
        <f>IF('[2]Enter Samples Here'!I39="","",'[2]Enter Samples Here'!I39)</f>
        <v>#REF!</v>
      </c>
      <c r="G20" s="13" t="e">
        <f>IF('[2]Enter Samples Here'!I47="","",'[2]Enter Samples Here'!I47)</f>
        <v>#REF!</v>
      </c>
      <c r="H20" s="14" t="e">
        <f>IF('[2]Enter Samples Here'!I55="","",'[2]Enter Samples Here'!I55)</f>
        <v>#REF!</v>
      </c>
      <c r="I20" s="14" t="e">
        <f>IF('[2]Enter Samples Here'!I63="","",'[2]Enter Samples Here'!I63)</f>
        <v>#REF!</v>
      </c>
      <c r="J20" s="14" t="e">
        <f>IF('[2]Enter Samples Here'!I71="","",'[2]Enter Samples Here'!I71)</f>
        <v>#REF!</v>
      </c>
      <c r="K20" s="14" t="e">
        <f>IF('[2]Enter Samples Here'!I79="","",'[2]Enter Samples Here'!I79)</f>
        <v>#REF!</v>
      </c>
      <c r="L20" s="14" t="e">
        <f>IF('[2]Enter Samples Here'!I87="","",'[2]Enter Samples Here'!I87)</f>
        <v>#REF!</v>
      </c>
      <c r="M20" s="14" t="e">
        <f>IF('[2]Enter Samples Here'!I95="","",'[2]Enter Samples Here'!I95)</f>
        <v>#REF!</v>
      </c>
      <c r="N20" s="1"/>
      <c r="O20" s="1"/>
      <c r="P20" s="1"/>
    </row>
    <row r="21" spans="1:16" ht="17" thickBot="1" x14ac:dyDescent="0.25">
      <c r="A21" s="38" t="s">
        <v>7</v>
      </c>
      <c r="B21" s="9" t="e">
        <f>IF('[2]Enter Samples Here'!B8="","",'[2]Enter Samples Here'!B8)</f>
        <v>#REF!</v>
      </c>
      <c r="C21" s="9" t="e">
        <f>IF('[2]Enter Samples Here'!B16="","",'[2]Enter Samples Here'!B16)</f>
        <v>#REF!</v>
      </c>
      <c r="D21" s="9" t="e">
        <f>IF('[2]Enter Samples Here'!B24="","",'[2]Enter Samples Here'!B24)</f>
        <v>#REF!</v>
      </c>
      <c r="E21" s="9" t="e">
        <f>IF('[2]Enter Samples Here'!B32="","",'[2]Enter Samples Here'!B32)</f>
        <v>#REF!</v>
      </c>
      <c r="F21" s="9" t="e">
        <f>IF('[2]Enter Samples Here'!B40="","",'[2]Enter Samples Here'!B40)</f>
        <v>#REF!</v>
      </c>
      <c r="G21" s="9" t="e">
        <f>IF('[2]Enter Samples Here'!B48="","",'[2]Enter Samples Here'!B48)</f>
        <v>#REF!</v>
      </c>
      <c r="H21" s="9" t="e">
        <f>IF('[2]Enter Samples Here'!B56="","",'[2]Enter Samples Here'!B56)</f>
        <v>#REF!</v>
      </c>
      <c r="I21" s="9" t="e">
        <f>IF('[2]Enter Samples Here'!B64="","",'[2]Enter Samples Here'!B64)</f>
        <v>#REF!</v>
      </c>
      <c r="J21" s="9" t="e">
        <f>IF('[2]Enter Samples Here'!B72="","",'[2]Enter Samples Here'!B72)</f>
        <v>#REF!</v>
      </c>
      <c r="K21" s="9" t="e">
        <f>IF('[2]Enter Samples Here'!B80="","",'[2]Enter Samples Here'!B80)</f>
        <v>#REF!</v>
      </c>
      <c r="L21" s="9" t="e">
        <f>IF('[2]Enter Samples Here'!B88="","",'[2]Enter Samples Here'!B88)</f>
        <v>#REF!</v>
      </c>
      <c r="M21" s="9" t="e">
        <f>IF('[2]Enter Samples Here'!B96="","",'[2]Enter Samples Here'!B96)</f>
        <v>#REF!</v>
      </c>
      <c r="N21" s="1"/>
      <c r="O21" s="1"/>
      <c r="P21" s="1"/>
    </row>
    <row r="22" spans="1:16" ht="17" thickBot="1" x14ac:dyDescent="0.25">
      <c r="A22" s="38"/>
      <c r="B22" s="11" t="e">
        <f>IF('[2]Plate Map'!B34="","",'[2]Plate Map'!B34)</f>
        <v>#REF!</v>
      </c>
      <c r="C22" s="11" t="e">
        <f>IF('[2]Plate Map'!C34="","",'[2]Plate Map'!C34)</f>
        <v>#REF!</v>
      </c>
      <c r="D22" s="11" t="e">
        <f>IF('[2]Plate Map'!D34="","",'[2]Plate Map'!D34)</f>
        <v>#REF!</v>
      </c>
      <c r="E22" s="11" t="e">
        <f>IF('[2]Plate Map'!E34="","",'[2]Plate Map'!E34)</f>
        <v>#REF!</v>
      </c>
      <c r="F22" s="11" t="e">
        <f>IF('[2]Plate Map'!F34="","",'[2]Plate Map'!F34)</f>
        <v>#REF!</v>
      </c>
      <c r="G22" s="11" t="e">
        <f>IF('[2]Plate Map'!G34="","",'[2]Plate Map'!G34)</f>
        <v>#REF!</v>
      </c>
      <c r="H22" s="11" t="e">
        <f>IF('[2]Plate Map'!H34="","",'[2]Plate Map'!H34)</f>
        <v>#REF!</v>
      </c>
      <c r="I22" s="11" t="e">
        <f>IF('[2]Plate Map'!I34="","",'[2]Plate Map'!I34)</f>
        <v>#REF!</v>
      </c>
      <c r="J22" s="11" t="e">
        <f>IF('[2]Plate Map'!J34="","",'[2]Plate Map'!J34)</f>
        <v>#REF!</v>
      </c>
      <c r="K22" s="11" t="e">
        <f>IF('[2]Plate Map'!K34="","",'[2]Plate Map'!K34)</f>
        <v>#REF!</v>
      </c>
      <c r="L22" s="11" t="e">
        <f>IF('[2]Plate Map'!L34="","",'[2]Plate Map'!L34)</f>
        <v>#REF!</v>
      </c>
      <c r="M22" s="11" t="e">
        <f>IF('[2]Plate Map'!M34="","",'[2]Plate Map'!M34)</f>
        <v>#REF!</v>
      </c>
      <c r="N22" s="1"/>
      <c r="O22" s="1"/>
      <c r="P22" s="1"/>
    </row>
    <row r="23" spans="1:16" ht="17" thickBot="1" x14ac:dyDescent="0.25">
      <c r="A23" s="38"/>
      <c r="B23" s="13" t="e">
        <f>IF('[2]Enter Samples Here'!I8="","",'[2]Enter Samples Here'!I8)</f>
        <v>#REF!</v>
      </c>
      <c r="C23" s="13" t="e">
        <f>IF('[2]Enter Samples Here'!I16="","",'[2]Enter Samples Here'!I16)</f>
        <v>#REF!</v>
      </c>
      <c r="D23" s="13" t="e">
        <f>IF('[2]Enter Samples Here'!I24="","",'[2]Enter Samples Here'!I24)</f>
        <v>#REF!</v>
      </c>
      <c r="E23" s="13" t="e">
        <f>IF('[2]Enter Samples Here'!I32="","",'[2]Enter Samples Here'!I32)</f>
        <v>#REF!</v>
      </c>
      <c r="F23" s="13" t="e">
        <f>IF('[2]Enter Samples Here'!I40="","",'[2]Enter Samples Here'!I40)</f>
        <v>#REF!</v>
      </c>
      <c r="G23" s="13" t="e">
        <f>IF('[2]Enter Samples Here'!I48="","",'[2]Enter Samples Here'!I48)</f>
        <v>#REF!</v>
      </c>
      <c r="H23" s="14" t="e">
        <f>IF('[2]Enter Samples Here'!I56="","",'[2]Enter Samples Here'!I56)</f>
        <v>#REF!</v>
      </c>
      <c r="I23" s="14" t="e">
        <f>IF('[2]Enter Samples Here'!I64="","",'[2]Enter Samples Here'!I64)</f>
        <v>#REF!</v>
      </c>
      <c r="J23" s="14" t="e">
        <f>IF('[2]Enter Samples Here'!I72="","",'[2]Enter Samples Here'!I72)</f>
        <v>#REF!</v>
      </c>
      <c r="K23" s="14" t="e">
        <f>IF('[2]Enter Samples Here'!I80="","",'[2]Enter Samples Here'!I80)</f>
        <v>#REF!</v>
      </c>
      <c r="L23" s="14" t="e">
        <f>IF('[2]Enter Samples Here'!I88="","",'[2]Enter Samples Here'!I88)</f>
        <v>#REF!</v>
      </c>
      <c r="M23" s="14" t="e">
        <f>IF('[2]Enter Samples Here'!I96="","",'[2]Enter Samples Here'!I96)</f>
        <v>#REF!</v>
      </c>
      <c r="N23" s="1"/>
      <c r="O23" s="1"/>
      <c r="P23" s="1"/>
    </row>
    <row r="24" spans="1:16" ht="17" thickBot="1" x14ac:dyDescent="0.25">
      <c r="A24" s="38" t="s">
        <v>8</v>
      </c>
      <c r="B24" s="9" t="e">
        <f>IF('[2]Enter Samples Here'!B9="","",'[2]Enter Samples Here'!B9)</f>
        <v>#REF!</v>
      </c>
      <c r="C24" s="9" t="e">
        <f>IF('[2]Enter Samples Here'!B17="","",'[2]Enter Samples Here'!B17)</f>
        <v>#REF!</v>
      </c>
      <c r="D24" s="9" t="e">
        <f>IF('[2]Enter Samples Here'!B25="","",'[2]Enter Samples Here'!B25)</f>
        <v>#REF!</v>
      </c>
      <c r="E24" s="9" t="e">
        <f>IF('[2]Enter Samples Here'!B33="","",'[2]Enter Samples Here'!B33)</f>
        <v>#REF!</v>
      </c>
      <c r="F24" s="9" t="e">
        <f>IF('[2]Enter Samples Here'!B41="","",'[2]Enter Samples Here'!B41)</f>
        <v>#REF!</v>
      </c>
      <c r="G24" s="9" t="e">
        <f>IF('[2]Enter Samples Here'!B49="","",'[2]Enter Samples Here'!B49)</f>
        <v>#REF!</v>
      </c>
      <c r="H24" s="9" t="e">
        <f>IF('[2]Enter Samples Here'!B57="","",'[2]Enter Samples Here'!B57)</f>
        <v>#REF!</v>
      </c>
      <c r="I24" s="9" t="e">
        <f>IF('[2]Enter Samples Here'!B65="","",'[2]Enter Samples Here'!B65)</f>
        <v>#REF!</v>
      </c>
      <c r="J24" s="9" t="e">
        <f>IF('[2]Enter Samples Here'!B73="","",'[2]Enter Samples Here'!B73)</f>
        <v>#REF!</v>
      </c>
      <c r="K24" s="9" t="e">
        <f>IF('[2]Enter Samples Here'!B81="","",'[2]Enter Samples Here'!B81)</f>
        <v>#REF!</v>
      </c>
      <c r="L24" s="9" t="e">
        <f>IF('[2]Enter Samples Here'!B89="","",'[2]Enter Samples Here'!B89)</f>
        <v>#REF!</v>
      </c>
      <c r="M24" s="9" t="e">
        <f>IF('[2]Enter Samples Here'!B97="","",'[2]Enter Samples Here'!B97)</f>
        <v>#REF!</v>
      </c>
      <c r="N24" s="1"/>
      <c r="O24" s="1"/>
      <c r="P24" s="1"/>
    </row>
    <row r="25" spans="1:16" ht="17" thickBot="1" x14ac:dyDescent="0.25">
      <c r="A25" s="38"/>
      <c r="B25" s="11" t="e">
        <f>IF('[2]Plate Map'!B35="","",'[2]Plate Map'!B35)</f>
        <v>#REF!</v>
      </c>
      <c r="C25" s="11" t="e">
        <f>IF('[2]Plate Map'!C35="","",'[2]Plate Map'!C35)</f>
        <v>#REF!</v>
      </c>
      <c r="D25" s="11" t="e">
        <f>IF('[2]Plate Map'!D35="","",'[2]Plate Map'!D35)</f>
        <v>#REF!</v>
      </c>
      <c r="E25" s="11" t="e">
        <f>IF('[2]Plate Map'!E35="","",'[2]Plate Map'!E35)</f>
        <v>#REF!</v>
      </c>
      <c r="F25" s="11" t="e">
        <f>IF('[2]Plate Map'!F35="","",'[2]Plate Map'!F35)</f>
        <v>#REF!</v>
      </c>
      <c r="G25" s="11" t="e">
        <f>IF('[2]Plate Map'!G35="","",'[2]Plate Map'!G35)</f>
        <v>#REF!</v>
      </c>
      <c r="H25" s="11" t="e">
        <f>IF('[2]Plate Map'!H35="","",'[2]Plate Map'!H35)</f>
        <v>#REF!</v>
      </c>
      <c r="I25" s="11" t="e">
        <f>IF('[2]Plate Map'!I35="","",'[2]Plate Map'!I35)</f>
        <v>#REF!</v>
      </c>
      <c r="J25" s="11" t="e">
        <f>IF('[2]Plate Map'!J35="","",'[2]Plate Map'!J35)</f>
        <v>#REF!</v>
      </c>
      <c r="K25" s="11" t="e">
        <f>IF('[2]Plate Map'!K35="","",'[2]Plate Map'!K35)</f>
        <v>#REF!</v>
      </c>
      <c r="L25" s="11" t="e">
        <f>IF('[2]Plate Map'!L35="","",'[2]Plate Map'!L35)</f>
        <v>#REF!</v>
      </c>
      <c r="M25" s="11" t="e">
        <f>IF('[2]Plate Map'!M35="","",'[2]Plate Map'!M35)</f>
        <v>#REF!</v>
      </c>
      <c r="N25" s="1"/>
      <c r="O25" s="1"/>
      <c r="P25" s="1"/>
    </row>
    <row r="26" spans="1:16" ht="17" thickBot="1" x14ac:dyDescent="0.25">
      <c r="A26" s="39"/>
      <c r="B26" s="13" t="e">
        <f>IF('[2]Enter Samples Here'!I9="","",'[2]Enter Samples Here'!I9)</f>
        <v>#REF!</v>
      </c>
      <c r="C26" s="13" t="e">
        <f>IF('[2]Enter Samples Here'!I17="","",'[2]Enter Samples Here'!I17)</f>
        <v>#REF!</v>
      </c>
      <c r="D26" s="13" t="e">
        <f>IF('[2]Enter Samples Here'!I25="","",'[2]Enter Samples Here'!I25)</f>
        <v>#REF!</v>
      </c>
      <c r="E26" s="13" t="e">
        <f>IF('[2]Enter Samples Here'!I33="","",'[2]Enter Samples Here'!I33)</f>
        <v>#REF!</v>
      </c>
      <c r="F26" s="13" t="e">
        <f>IF('[2]Enter Samples Here'!I41="","",'[2]Enter Samples Here'!I41)</f>
        <v>#REF!</v>
      </c>
      <c r="G26" s="13" t="e">
        <f>IF('[2]Enter Samples Here'!I49="","",'[2]Enter Samples Here'!I49)</f>
        <v>#REF!</v>
      </c>
      <c r="H26" s="14" t="e">
        <f>IF('[2]Enter Samples Here'!I57="","",'[2]Enter Samples Here'!I57)</f>
        <v>#REF!</v>
      </c>
      <c r="I26" s="14" t="e">
        <f>IF('[2]Enter Samples Here'!I65="","",'[2]Enter Samples Here'!I65)</f>
        <v>#REF!</v>
      </c>
      <c r="J26" s="14" t="e">
        <f>IF('[2]Enter Samples Here'!I73="","",'[2]Enter Samples Here'!I73)</f>
        <v>#REF!</v>
      </c>
      <c r="K26" s="14" t="e">
        <f>IF('[2]Enter Samples Here'!I81="","",'[2]Enter Samples Here'!I81)</f>
        <v>#REF!</v>
      </c>
      <c r="L26" s="14" t="e">
        <f>IF('[2]Enter Samples Here'!I89="","",'[2]Enter Samples Here'!I89)</f>
        <v>#REF!</v>
      </c>
      <c r="M26" s="14" t="e">
        <f>IF('[2]Enter Samples Here'!I97="","",'[2]Enter Samples Here'!I97)</f>
        <v>#REF!</v>
      </c>
      <c r="N26" s="1"/>
      <c r="O26" s="1"/>
      <c r="P26" s="1"/>
    </row>
  </sheetData>
  <mergeCells count="9">
    <mergeCell ref="A18:A20"/>
    <mergeCell ref="A21:A23"/>
    <mergeCell ref="A24:A26"/>
    <mergeCell ref="C1:E1"/>
    <mergeCell ref="A3:A5"/>
    <mergeCell ref="A6:A8"/>
    <mergeCell ref="A9:A11"/>
    <mergeCell ref="A12:A14"/>
    <mergeCell ref="A15:A1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19F8D-CA9C-984E-99C6-05205EF2B550}">
  <sheetPr codeName="Sheet6"/>
  <dimension ref="A1"/>
  <sheetViews>
    <sheetView workbookViewId="0"/>
  </sheetViews>
  <sheetFormatPr baseColWidth="10" defaultColWidth="11.1640625" defaultRowHeight="16" x14ac:dyDescent="0.2"/>
  <cols>
    <col min="1" max="1" width="14" customWidth="1"/>
    <col min="2" max="2" width="19.1640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Enter Samples in Plate Map</vt:lpstr>
      <vt:lpstr>Sample Summary</vt:lpstr>
      <vt:lpstr>Sample Names and Indices</vt:lpstr>
      <vt:lpstr>Index Plate Layout</vt:lpstr>
      <vt:lpstr>Summary Plate Map</vt:lpstr>
      <vt:lpstr>Sample Names and Concentrations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2021-05-13T12:16:30Z</dcterms:created>
  <dcterms:modified xsi:type="dcterms:W3CDTF">2021-05-27T14:15:01Z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f10f6df8-cb40-43e2-a6ef-3eb4e1b2f012</vt:lpwstr>
  </property>
</Properties>
</file>