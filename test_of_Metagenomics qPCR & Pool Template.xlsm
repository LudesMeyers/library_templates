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0509" codeName="{6BE1CDB9-6C1C-A5B6-3FC1-E231EC3C600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JHLM/excel_macros/library_templates/"/>
    </mc:Choice>
  </mc:AlternateContent>
  <xr:revisionPtr revIDLastSave="0" documentId="8_{1CF4A943-9293-3645-B74B-7BD7B711E554}" xr6:coauthVersionLast="47" xr6:coauthVersionMax="47" xr10:uidLastSave="{00000000-0000-0000-0000-000000000000}"/>
  <bookViews>
    <workbookView xWindow="-40" yWindow="460" windowWidth="15120" windowHeight="19740" firstSheet="2" activeTab="6" xr2:uid="{00000000-000D-0000-FFFF-FFFF00000000}"/>
  </bookViews>
  <sheets>
    <sheet name="Paste Sample Names Here" sheetId="10" r:id="rId1"/>
    <sheet name="Metagenomic Sample Plates" sheetId="1" r:id="rId2"/>
    <sheet name="384 Well qPCR Layout" sheetId="2" r:id="rId3"/>
    <sheet name="Sheet3" sheetId="3" state="hidden" r:id="rId4"/>
    <sheet name="Paste qPCR Data Here" sheetId="4" r:id="rId5"/>
    <sheet name="Data" sheetId="7" r:id="rId6"/>
    <sheet name="Results" sheetId="8" r:id="rId7"/>
    <sheet name="Pool 1" sheetId="9" r:id="rId8"/>
  </sheets>
  <definedNames>
    <definedName name="_xlnm.Print_Titles" localSheetId="6">Results!$1:$2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35" i="1" l="1"/>
  <c r="C25" i="2" s="1"/>
  <c r="A24" i="1"/>
  <c r="C24" i="2" s="1"/>
  <c r="A13" i="1"/>
  <c r="C23" i="2" s="1"/>
  <c r="A2" i="1"/>
  <c r="C22" i="2" s="1"/>
  <c r="B47" i="1" l="1"/>
  <c r="B53" i="1" s="1"/>
  <c r="C14" i="7"/>
  <c r="C13" i="7"/>
  <c r="C12" i="7"/>
  <c r="C11" i="7"/>
  <c r="M33" i="1"/>
  <c r="Y17" i="2" s="1"/>
  <c r="C369" i="4" s="1"/>
  <c r="M32" i="1"/>
  <c r="Y15" i="2"/>
  <c r="C321" i="4" s="1"/>
  <c r="M31" i="1"/>
  <c r="Y13" i="2" s="1"/>
  <c r="A396" i="7" s="1"/>
  <c r="C396" i="7" s="1"/>
  <c r="M30" i="1"/>
  <c r="Y11" i="2"/>
  <c r="A394" i="7" s="1"/>
  <c r="C394" i="7" s="1"/>
  <c r="D394" i="7" s="1"/>
  <c r="M29" i="1"/>
  <c r="Y9" i="2" s="1"/>
  <c r="A392" i="7" s="1"/>
  <c r="M28" i="1"/>
  <c r="Y7" i="2" s="1"/>
  <c r="M27" i="1"/>
  <c r="Y5" i="2" s="1"/>
  <c r="C81" i="4" s="1"/>
  <c r="M26" i="1"/>
  <c r="Y3" i="2" s="1"/>
  <c r="L44" i="1"/>
  <c r="W18" i="2" s="1"/>
  <c r="A385" i="7" s="1"/>
  <c r="L43" i="1"/>
  <c r="W16" i="2" s="1"/>
  <c r="C343" i="4" s="1"/>
  <c r="L42" i="1"/>
  <c r="W14" i="2" s="1"/>
  <c r="L41" i="1"/>
  <c r="W12" i="2" s="1"/>
  <c r="A379" i="7" s="1"/>
  <c r="C379" i="7" s="1"/>
  <c r="L40" i="1"/>
  <c r="W10" i="2" s="1"/>
  <c r="L39" i="1"/>
  <c r="W8" i="2" s="1"/>
  <c r="L38" i="1"/>
  <c r="W6" i="2" s="1"/>
  <c r="C103" i="4" s="1"/>
  <c r="L37" i="1"/>
  <c r="W4" i="2" s="1"/>
  <c r="C7" i="7"/>
  <c r="C6" i="7"/>
  <c r="C5" i="7"/>
  <c r="C4" i="7"/>
  <c r="I78" i="9"/>
  <c r="I79" i="9"/>
  <c r="I80" i="9"/>
  <c r="I81" i="9"/>
  <c r="I82" i="9"/>
  <c r="I83" i="9"/>
  <c r="I84" i="9"/>
  <c r="I85" i="9"/>
  <c r="I86" i="9"/>
  <c r="I87" i="9"/>
  <c r="I88" i="9"/>
  <c r="I89" i="9"/>
  <c r="I90" i="9"/>
  <c r="I91" i="9"/>
  <c r="I92" i="9"/>
  <c r="I93" i="9"/>
  <c r="I94" i="9"/>
  <c r="I95" i="9"/>
  <c r="I96" i="9"/>
  <c r="I97" i="9"/>
  <c r="I98" i="9"/>
  <c r="I99" i="9"/>
  <c r="I100" i="9"/>
  <c r="I101" i="9"/>
  <c r="I102" i="9"/>
  <c r="I103" i="9"/>
  <c r="I104" i="9"/>
  <c r="I105" i="9"/>
  <c r="I106" i="9"/>
  <c r="I107" i="9"/>
  <c r="I108" i="9"/>
  <c r="I109" i="9"/>
  <c r="I110" i="9"/>
  <c r="I111" i="9"/>
  <c r="I112" i="9"/>
  <c r="I113" i="9"/>
  <c r="I114" i="9"/>
  <c r="I115" i="9"/>
  <c r="I116" i="9"/>
  <c r="I117" i="9"/>
  <c r="I118" i="9"/>
  <c r="I119" i="9"/>
  <c r="I120" i="9"/>
  <c r="I121" i="9"/>
  <c r="I122" i="9"/>
  <c r="I123" i="9"/>
  <c r="I124" i="9"/>
  <c r="I125" i="9"/>
  <c r="I126" i="9"/>
  <c r="I127" i="9"/>
  <c r="I128" i="9"/>
  <c r="I129" i="9"/>
  <c r="I130" i="9"/>
  <c r="I131" i="9"/>
  <c r="I132" i="9"/>
  <c r="I133" i="9"/>
  <c r="I134" i="9"/>
  <c r="I135" i="9"/>
  <c r="I136" i="9"/>
  <c r="I137" i="9"/>
  <c r="I138" i="9"/>
  <c r="I139" i="9"/>
  <c r="I140" i="9"/>
  <c r="I141" i="9"/>
  <c r="I142" i="9"/>
  <c r="I143" i="9"/>
  <c r="I144" i="9"/>
  <c r="I145" i="9"/>
  <c r="I146" i="9"/>
  <c r="I147" i="9"/>
  <c r="I148" i="9"/>
  <c r="I149" i="9"/>
  <c r="I150" i="9"/>
  <c r="I151" i="9"/>
  <c r="I152" i="9"/>
  <c r="I153" i="9"/>
  <c r="I154" i="9"/>
  <c r="I155" i="9"/>
  <c r="I156" i="9"/>
  <c r="I157" i="9"/>
  <c r="I158" i="9"/>
  <c r="I159" i="9"/>
  <c r="I160" i="9"/>
  <c r="I161" i="9"/>
  <c r="I162" i="9"/>
  <c r="I163" i="9"/>
  <c r="I164" i="9"/>
  <c r="I165" i="9"/>
  <c r="I166" i="9"/>
  <c r="I167" i="9"/>
  <c r="I168" i="9"/>
  <c r="I169" i="9"/>
  <c r="I170" i="9"/>
  <c r="I171" i="9"/>
  <c r="I172" i="9"/>
  <c r="I173" i="9"/>
  <c r="I174" i="9"/>
  <c r="I175" i="9"/>
  <c r="I176" i="9"/>
  <c r="I177" i="9"/>
  <c r="I178" i="9"/>
  <c r="I179" i="9"/>
  <c r="I180" i="9"/>
  <c r="I181" i="9"/>
  <c r="I182" i="9"/>
  <c r="I183" i="9"/>
  <c r="I184" i="9"/>
  <c r="I185" i="9"/>
  <c r="I186" i="9"/>
  <c r="I187" i="9"/>
  <c r="I188" i="9"/>
  <c r="I189" i="9"/>
  <c r="I190" i="9"/>
  <c r="I191" i="9"/>
  <c r="I192" i="9"/>
  <c r="I193" i="9"/>
  <c r="I194" i="9"/>
  <c r="I195" i="9"/>
  <c r="I196" i="9"/>
  <c r="I197" i="9"/>
  <c r="I198" i="9"/>
  <c r="I199" i="9"/>
  <c r="I200" i="9"/>
  <c r="I201" i="9"/>
  <c r="I202" i="9"/>
  <c r="I203" i="9"/>
  <c r="I204" i="9"/>
  <c r="I205" i="9"/>
  <c r="I206" i="9"/>
  <c r="I207" i="9"/>
  <c r="I208" i="9"/>
  <c r="I209" i="9"/>
  <c r="I210" i="9"/>
  <c r="I211" i="9"/>
  <c r="I212" i="9"/>
  <c r="I213" i="9"/>
  <c r="I214" i="9"/>
  <c r="I215" i="9"/>
  <c r="I216" i="9"/>
  <c r="I217" i="9"/>
  <c r="I218" i="9"/>
  <c r="I219" i="9"/>
  <c r="I220" i="9"/>
  <c r="I221" i="9"/>
  <c r="I222" i="9"/>
  <c r="I223" i="9"/>
  <c r="I224" i="9"/>
  <c r="I225" i="9"/>
  <c r="I226" i="9"/>
  <c r="I227" i="9"/>
  <c r="I228" i="9"/>
  <c r="I229" i="9"/>
  <c r="I230" i="9"/>
  <c r="I231" i="9"/>
  <c r="I232" i="9"/>
  <c r="I233" i="9"/>
  <c r="I234" i="9"/>
  <c r="I235" i="9"/>
  <c r="I236" i="9"/>
  <c r="I237" i="9"/>
  <c r="I238" i="9"/>
  <c r="I239" i="9"/>
  <c r="I240" i="9"/>
  <c r="I241" i="9"/>
  <c r="I242" i="9"/>
  <c r="I243" i="9"/>
  <c r="I244" i="9"/>
  <c r="I245" i="9"/>
  <c r="I246" i="9"/>
  <c r="I247" i="9"/>
  <c r="I248" i="9"/>
  <c r="I249" i="9"/>
  <c r="I250" i="9"/>
  <c r="I251" i="9"/>
  <c r="I252" i="9"/>
  <c r="I253" i="9"/>
  <c r="I254" i="9"/>
  <c r="I255" i="9"/>
  <c r="I256" i="9"/>
  <c r="I257" i="9"/>
  <c r="I258" i="9"/>
  <c r="I259" i="9"/>
  <c r="I260" i="9"/>
  <c r="I261" i="9"/>
  <c r="I262" i="9"/>
  <c r="I263" i="9"/>
  <c r="I264" i="9"/>
  <c r="I265" i="9"/>
  <c r="I266" i="9"/>
  <c r="I267" i="9"/>
  <c r="I268" i="9"/>
  <c r="I269" i="9"/>
  <c r="I270" i="9"/>
  <c r="I271" i="9"/>
  <c r="I272" i="9"/>
  <c r="I273" i="9"/>
  <c r="I274" i="9"/>
  <c r="I275" i="9"/>
  <c r="I276" i="9"/>
  <c r="I277" i="9"/>
  <c r="I278" i="9"/>
  <c r="I279" i="9"/>
  <c r="I280" i="9"/>
  <c r="I281" i="9"/>
  <c r="I282" i="9"/>
  <c r="I283" i="9"/>
  <c r="I284" i="9"/>
  <c r="I285" i="9"/>
  <c r="I286" i="9"/>
  <c r="I287" i="9"/>
  <c r="I288" i="9"/>
  <c r="I289" i="9"/>
  <c r="I290" i="9"/>
  <c r="I291" i="9"/>
  <c r="I292" i="9"/>
  <c r="I293" i="9"/>
  <c r="I294" i="9"/>
  <c r="I295" i="9"/>
  <c r="I296" i="9"/>
  <c r="I297" i="9"/>
  <c r="I298" i="9"/>
  <c r="I299" i="9"/>
  <c r="I300" i="9"/>
  <c r="I301" i="9"/>
  <c r="I302" i="9"/>
  <c r="I303" i="9"/>
  <c r="I304" i="9"/>
  <c r="I305" i="9"/>
  <c r="I306" i="9"/>
  <c r="I307" i="9"/>
  <c r="I308" i="9"/>
  <c r="I309" i="9"/>
  <c r="I310" i="9"/>
  <c r="I311" i="9"/>
  <c r="I312" i="9"/>
  <c r="I313" i="9"/>
  <c r="I314" i="9"/>
  <c r="I315" i="9"/>
  <c r="I316" i="9"/>
  <c r="I317" i="9"/>
  <c r="I318" i="9"/>
  <c r="I319" i="9"/>
  <c r="I320" i="9"/>
  <c r="I321" i="9"/>
  <c r="I322" i="9"/>
  <c r="I323" i="9"/>
  <c r="I324" i="9"/>
  <c r="I325" i="9"/>
  <c r="I326" i="9"/>
  <c r="I327" i="9"/>
  <c r="I328" i="9"/>
  <c r="I329" i="9"/>
  <c r="I330" i="9"/>
  <c r="I331" i="9"/>
  <c r="I332" i="9"/>
  <c r="I333" i="9"/>
  <c r="I334" i="9"/>
  <c r="I335" i="9"/>
  <c r="I336" i="9"/>
  <c r="I337" i="9"/>
  <c r="I338" i="9"/>
  <c r="I339" i="9"/>
  <c r="I340" i="9"/>
  <c r="I341" i="9"/>
  <c r="I342" i="9"/>
  <c r="I343" i="9"/>
  <c r="I344" i="9"/>
  <c r="I345" i="9"/>
  <c r="I346" i="9"/>
  <c r="I347" i="9"/>
  <c r="I348" i="9"/>
  <c r="I349" i="9"/>
  <c r="I350" i="9"/>
  <c r="I351" i="9"/>
  <c r="I352" i="9"/>
  <c r="I353" i="9"/>
  <c r="I354" i="9"/>
  <c r="I355" i="9"/>
  <c r="I356" i="9"/>
  <c r="I357" i="9"/>
  <c r="I358" i="9"/>
  <c r="I359" i="9"/>
  <c r="I360" i="9"/>
  <c r="I361" i="9"/>
  <c r="I362" i="9"/>
  <c r="I363" i="9"/>
  <c r="I364" i="9"/>
  <c r="I365" i="9"/>
  <c r="I366" i="9"/>
  <c r="I367" i="9"/>
  <c r="I368" i="9"/>
  <c r="I369" i="9"/>
  <c r="I370" i="9"/>
  <c r="I371" i="9"/>
  <c r="I372" i="9"/>
  <c r="I373" i="9"/>
  <c r="I374" i="9"/>
  <c r="I375" i="9"/>
  <c r="I376" i="9"/>
  <c r="I377" i="9"/>
  <c r="I378" i="9"/>
  <c r="I379" i="9"/>
  <c r="I380" i="9"/>
  <c r="I381" i="9"/>
  <c r="I382" i="9"/>
  <c r="I383" i="9"/>
  <c r="I384" i="9"/>
  <c r="I385" i="9"/>
  <c r="I386" i="9"/>
  <c r="I387" i="9"/>
  <c r="I388" i="9"/>
  <c r="I389" i="9"/>
  <c r="I390" i="9"/>
  <c r="I391" i="9"/>
  <c r="I392" i="9"/>
  <c r="I393" i="9"/>
  <c r="I394" i="9"/>
  <c r="I395" i="9"/>
  <c r="I396" i="9"/>
  <c r="I397" i="9"/>
  <c r="I398" i="9"/>
  <c r="I399" i="9"/>
  <c r="I400" i="9"/>
  <c r="G395" i="9"/>
  <c r="H395" i="9"/>
  <c r="G396" i="9"/>
  <c r="H396" i="9"/>
  <c r="G397" i="9"/>
  <c r="H397" i="9"/>
  <c r="G398" i="9"/>
  <c r="H398" i="9"/>
  <c r="G399" i="9"/>
  <c r="H399" i="9"/>
  <c r="G400" i="9"/>
  <c r="H400" i="9"/>
  <c r="G389" i="9"/>
  <c r="H389" i="9"/>
  <c r="G390" i="9"/>
  <c r="H390" i="9"/>
  <c r="G391" i="9"/>
  <c r="H391" i="9"/>
  <c r="G392" i="9"/>
  <c r="H392" i="9"/>
  <c r="G393" i="9"/>
  <c r="H393" i="9"/>
  <c r="G394" i="9"/>
  <c r="H394" i="9"/>
  <c r="G386" i="9"/>
  <c r="H386" i="9"/>
  <c r="G387" i="9"/>
  <c r="H387" i="9"/>
  <c r="G388" i="9"/>
  <c r="H388" i="9"/>
  <c r="G372" i="9"/>
  <c r="H372" i="9"/>
  <c r="G373" i="9"/>
  <c r="H373" i="9"/>
  <c r="G374" i="9"/>
  <c r="H374" i="9"/>
  <c r="G375" i="9"/>
  <c r="H375" i="9"/>
  <c r="G376" i="9"/>
  <c r="H376" i="9"/>
  <c r="G377" i="9"/>
  <c r="H377" i="9"/>
  <c r="G378" i="9"/>
  <c r="H378" i="9"/>
  <c r="G379" i="9"/>
  <c r="H379" i="9"/>
  <c r="G380" i="9"/>
  <c r="H380" i="9"/>
  <c r="G381" i="9"/>
  <c r="H381" i="9"/>
  <c r="G382" i="9"/>
  <c r="H382" i="9"/>
  <c r="G383" i="9"/>
  <c r="H383" i="9"/>
  <c r="G384" i="9"/>
  <c r="H384" i="9"/>
  <c r="G385" i="9"/>
  <c r="H385" i="9"/>
  <c r="H78" i="9"/>
  <c r="H79" i="9"/>
  <c r="H80" i="9"/>
  <c r="H81" i="9"/>
  <c r="H82" i="9"/>
  <c r="H83" i="9"/>
  <c r="H84" i="9"/>
  <c r="H85" i="9"/>
  <c r="H86" i="9"/>
  <c r="H87" i="9"/>
  <c r="H88" i="9"/>
  <c r="H89" i="9"/>
  <c r="H90" i="9"/>
  <c r="H91" i="9"/>
  <c r="H92" i="9"/>
  <c r="H93" i="9"/>
  <c r="H94" i="9"/>
  <c r="H95" i="9"/>
  <c r="H96" i="9"/>
  <c r="H97" i="9"/>
  <c r="H98" i="9"/>
  <c r="H99" i="9"/>
  <c r="H100" i="9"/>
  <c r="H101" i="9"/>
  <c r="H102" i="9"/>
  <c r="H103" i="9"/>
  <c r="H104" i="9"/>
  <c r="H105" i="9"/>
  <c r="H106" i="9"/>
  <c r="H107" i="9"/>
  <c r="H108" i="9"/>
  <c r="H109" i="9"/>
  <c r="H110" i="9"/>
  <c r="H111" i="9"/>
  <c r="H112" i="9"/>
  <c r="H113" i="9"/>
  <c r="H114" i="9"/>
  <c r="H115" i="9"/>
  <c r="H116" i="9"/>
  <c r="H117" i="9"/>
  <c r="H118" i="9"/>
  <c r="H119" i="9"/>
  <c r="H120" i="9"/>
  <c r="H121" i="9"/>
  <c r="H122" i="9"/>
  <c r="H123" i="9"/>
  <c r="H124" i="9"/>
  <c r="H125" i="9"/>
  <c r="H126" i="9"/>
  <c r="H127" i="9"/>
  <c r="H128" i="9"/>
  <c r="H129" i="9"/>
  <c r="H130" i="9"/>
  <c r="H131" i="9"/>
  <c r="H132" i="9"/>
  <c r="H133" i="9"/>
  <c r="H134" i="9"/>
  <c r="H135" i="9"/>
  <c r="H136" i="9"/>
  <c r="H137" i="9"/>
  <c r="H138" i="9"/>
  <c r="H139" i="9"/>
  <c r="H140" i="9"/>
  <c r="H141" i="9"/>
  <c r="H142" i="9"/>
  <c r="H143" i="9"/>
  <c r="H144" i="9"/>
  <c r="H145" i="9"/>
  <c r="H146" i="9"/>
  <c r="H147" i="9"/>
  <c r="H148" i="9"/>
  <c r="H149" i="9"/>
  <c r="H150" i="9"/>
  <c r="H151" i="9"/>
  <c r="H152" i="9"/>
  <c r="H153" i="9"/>
  <c r="H154" i="9"/>
  <c r="H155" i="9"/>
  <c r="H156" i="9"/>
  <c r="H157" i="9"/>
  <c r="H158" i="9"/>
  <c r="H159" i="9"/>
  <c r="H160" i="9"/>
  <c r="H161" i="9"/>
  <c r="H162" i="9"/>
  <c r="H163" i="9"/>
  <c r="H164" i="9"/>
  <c r="H165" i="9"/>
  <c r="H166" i="9"/>
  <c r="H167" i="9"/>
  <c r="H168" i="9"/>
  <c r="H169" i="9"/>
  <c r="H170" i="9"/>
  <c r="H171" i="9"/>
  <c r="H172" i="9"/>
  <c r="H173" i="9"/>
  <c r="H174" i="9"/>
  <c r="H175" i="9"/>
  <c r="H176" i="9"/>
  <c r="H177" i="9"/>
  <c r="H178" i="9"/>
  <c r="H179" i="9"/>
  <c r="H180" i="9"/>
  <c r="H181" i="9"/>
  <c r="H182" i="9"/>
  <c r="H183" i="9"/>
  <c r="H184" i="9"/>
  <c r="H185" i="9"/>
  <c r="H186" i="9"/>
  <c r="H187" i="9"/>
  <c r="H188" i="9"/>
  <c r="H189" i="9"/>
  <c r="H190" i="9"/>
  <c r="H191" i="9"/>
  <c r="H192" i="9"/>
  <c r="H193" i="9"/>
  <c r="H194" i="9"/>
  <c r="H195" i="9"/>
  <c r="H196" i="9"/>
  <c r="H197" i="9"/>
  <c r="H198" i="9"/>
  <c r="H199" i="9"/>
  <c r="H200" i="9"/>
  <c r="H201" i="9"/>
  <c r="H202" i="9"/>
  <c r="H203" i="9"/>
  <c r="H204" i="9"/>
  <c r="H205" i="9"/>
  <c r="H206" i="9"/>
  <c r="H207" i="9"/>
  <c r="H208" i="9"/>
  <c r="H209" i="9"/>
  <c r="H210" i="9"/>
  <c r="H211" i="9"/>
  <c r="H212" i="9"/>
  <c r="H213" i="9"/>
  <c r="H214" i="9"/>
  <c r="H215" i="9"/>
  <c r="H216" i="9"/>
  <c r="H217" i="9"/>
  <c r="H218" i="9"/>
  <c r="H219" i="9"/>
  <c r="H220" i="9"/>
  <c r="H221" i="9"/>
  <c r="H222" i="9"/>
  <c r="H223" i="9"/>
  <c r="H224" i="9"/>
  <c r="H225" i="9"/>
  <c r="H226" i="9"/>
  <c r="H227" i="9"/>
  <c r="H228" i="9"/>
  <c r="H229" i="9"/>
  <c r="H230" i="9"/>
  <c r="H231" i="9"/>
  <c r="H232" i="9"/>
  <c r="H233" i="9"/>
  <c r="H234" i="9"/>
  <c r="H235" i="9"/>
  <c r="H236" i="9"/>
  <c r="H237" i="9"/>
  <c r="H238" i="9"/>
  <c r="H239" i="9"/>
  <c r="H240" i="9"/>
  <c r="H241" i="9"/>
  <c r="H242" i="9"/>
  <c r="H243" i="9"/>
  <c r="H244" i="9"/>
  <c r="H245" i="9"/>
  <c r="H246" i="9"/>
  <c r="H247" i="9"/>
  <c r="H248" i="9"/>
  <c r="H249" i="9"/>
  <c r="H250" i="9"/>
  <c r="H251" i="9"/>
  <c r="H252" i="9"/>
  <c r="H253" i="9"/>
  <c r="H254" i="9"/>
  <c r="H255" i="9"/>
  <c r="H256" i="9"/>
  <c r="H257" i="9"/>
  <c r="H258" i="9"/>
  <c r="H259" i="9"/>
  <c r="H260" i="9"/>
  <c r="H261" i="9"/>
  <c r="H262" i="9"/>
  <c r="H263" i="9"/>
  <c r="H264" i="9"/>
  <c r="H265" i="9"/>
  <c r="H266" i="9"/>
  <c r="H267" i="9"/>
  <c r="H268" i="9"/>
  <c r="H269" i="9"/>
  <c r="H270" i="9"/>
  <c r="H271" i="9"/>
  <c r="H272" i="9"/>
  <c r="H273" i="9"/>
  <c r="H274" i="9"/>
  <c r="H275" i="9"/>
  <c r="H276" i="9"/>
  <c r="H277" i="9"/>
  <c r="H278" i="9"/>
  <c r="H279" i="9"/>
  <c r="H280" i="9"/>
  <c r="H281" i="9"/>
  <c r="H282" i="9"/>
  <c r="H283" i="9"/>
  <c r="H284" i="9"/>
  <c r="H285" i="9"/>
  <c r="H286" i="9"/>
  <c r="H287" i="9"/>
  <c r="H288" i="9"/>
  <c r="H289" i="9"/>
  <c r="H290" i="9"/>
  <c r="H291" i="9"/>
  <c r="H292" i="9"/>
  <c r="H293" i="9"/>
  <c r="H294" i="9"/>
  <c r="H295" i="9"/>
  <c r="H296" i="9"/>
  <c r="H297" i="9"/>
  <c r="H298" i="9"/>
  <c r="H299" i="9"/>
  <c r="H300" i="9"/>
  <c r="H301" i="9"/>
  <c r="H302" i="9"/>
  <c r="H303" i="9"/>
  <c r="H304" i="9"/>
  <c r="H305" i="9"/>
  <c r="H306" i="9"/>
  <c r="H307" i="9"/>
  <c r="H308" i="9"/>
  <c r="H309" i="9"/>
  <c r="H310" i="9"/>
  <c r="H311" i="9"/>
  <c r="H312" i="9"/>
  <c r="H313" i="9"/>
  <c r="H314" i="9"/>
  <c r="H315" i="9"/>
  <c r="H316" i="9"/>
  <c r="H317" i="9"/>
  <c r="H318" i="9"/>
  <c r="H319" i="9"/>
  <c r="H320" i="9"/>
  <c r="H321" i="9"/>
  <c r="H322" i="9"/>
  <c r="H323" i="9"/>
  <c r="H324" i="9"/>
  <c r="H325" i="9"/>
  <c r="H326" i="9"/>
  <c r="H327" i="9"/>
  <c r="H328" i="9"/>
  <c r="H329" i="9"/>
  <c r="H330" i="9"/>
  <c r="H331" i="9"/>
  <c r="H332" i="9"/>
  <c r="H333" i="9"/>
  <c r="H334" i="9"/>
  <c r="H335" i="9"/>
  <c r="H336" i="9"/>
  <c r="H337" i="9"/>
  <c r="H338" i="9"/>
  <c r="H339" i="9"/>
  <c r="H340" i="9"/>
  <c r="H341" i="9"/>
  <c r="H342" i="9"/>
  <c r="H343" i="9"/>
  <c r="H344" i="9"/>
  <c r="H345" i="9"/>
  <c r="H346" i="9"/>
  <c r="H347" i="9"/>
  <c r="H348" i="9"/>
  <c r="H349" i="9"/>
  <c r="H350" i="9"/>
  <c r="H351" i="9"/>
  <c r="H352" i="9"/>
  <c r="H353" i="9"/>
  <c r="H354" i="9"/>
  <c r="H355" i="9"/>
  <c r="H356" i="9"/>
  <c r="H357" i="9"/>
  <c r="H358" i="9"/>
  <c r="H359" i="9"/>
  <c r="H360" i="9"/>
  <c r="H361" i="9"/>
  <c r="H362" i="9"/>
  <c r="H363" i="9"/>
  <c r="H364" i="9"/>
  <c r="H365" i="9"/>
  <c r="H366" i="9"/>
  <c r="H367" i="9"/>
  <c r="H368" i="9"/>
  <c r="H369" i="9"/>
  <c r="H370" i="9"/>
  <c r="H371" i="9"/>
  <c r="B4" i="1"/>
  <c r="B3" i="2" s="1"/>
  <c r="A18" i="7" s="1"/>
  <c r="B5" i="1"/>
  <c r="B5" i="2" s="1"/>
  <c r="C58" i="4" s="1"/>
  <c r="B6" i="1"/>
  <c r="B7" i="2" s="1"/>
  <c r="A22" i="7" s="1"/>
  <c r="B7" i="1"/>
  <c r="B9" i="2" s="1"/>
  <c r="C154" i="4" s="1"/>
  <c r="B8" i="1"/>
  <c r="B9" i="1"/>
  <c r="B13" i="2" s="1"/>
  <c r="A28" i="7" s="1"/>
  <c r="B28" i="7" s="1"/>
  <c r="B10" i="1"/>
  <c r="B15" i="2" s="1"/>
  <c r="A30" i="7" s="1"/>
  <c r="B30" i="7" s="1"/>
  <c r="B11" i="1"/>
  <c r="B17" i="2" s="1"/>
  <c r="A32" i="7" s="1"/>
  <c r="B32" i="7" s="1"/>
  <c r="C4" i="1"/>
  <c r="C5" i="1"/>
  <c r="D5" i="2" s="1"/>
  <c r="C6" i="1"/>
  <c r="D7" i="2" s="1"/>
  <c r="A38" i="7" s="1"/>
  <c r="C38" i="7" s="1"/>
  <c r="C7" i="1"/>
  <c r="D9" i="2"/>
  <c r="C8" i="1"/>
  <c r="D11" i="2" s="1"/>
  <c r="C9" i="1"/>
  <c r="D13" i="2" s="1"/>
  <c r="A44" i="7" s="1"/>
  <c r="C44" i="7" s="1"/>
  <c r="C10" i="1"/>
  <c r="D15" i="2" s="1"/>
  <c r="A46" i="7" s="1"/>
  <c r="C46" i="7" s="1"/>
  <c r="C11" i="1"/>
  <c r="D17" i="2" s="1"/>
  <c r="A48" i="7" s="1"/>
  <c r="C48" i="7" s="1"/>
  <c r="D4" i="1"/>
  <c r="F3" i="2" s="1"/>
  <c r="C14" i="4" s="1"/>
  <c r="D5" i="1"/>
  <c r="F5" i="2" s="1"/>
  <c r="D6" i="1"/>
  <c r="F7" i="2"/>
  <c r="D7" i="1"/>
  <c r="F9" i="2" s="1"/>
  <c r="C158" i="4" s="1"/>
  <c r="D8" i="1"/>
  <c r="F11" i="2" s="1"/>
  <c r="D9" i="1"/>
  <c r="F13" i="2" s="1"/>
  <c r="D10" i="1"/>
  <c r="F15" i="2" s="1"/>
  <c r="D11" i="1"/>
  <c r="F17" i="2" s="1"/>
  <c r="C350" i="4" s="1"/>
  <c r="E4" i="1"/>
  <c r="H3" i="2" s="1"/>
  <c r="E5" i="1"/>
  <c r="H5" i="2"/>
  <c r="C64" i="4" s="1"/>
  <c r="E6" i="1"/>
  <c r="H7" i="2" s="1"/>
  <c r="E7" i="1"/>
  <c r="H9" i="2" s="1"/>
  <c r="E8" i="1"/>
  <c r="E9" i="1"/>
  <c r="H13" i="2" s="1"/>
  <c r="E10" i="1"/>
  <c r="H15" i="2" s="1"/>
  <c r="E11" i="1"/>
  <c r="H17" i="2" s="1"/>
  <c r="F4" i="1"/>
  <c r="J3" i="2" s="1"/>
  <c r="F5" i="1"/>
  <c r="J5" i="2" s="1"/>
  <c r="F6" i="1"/>
  <c r="J7" i="2" s="1"/>
  <c r="F7" i="1"/>
  <c r="J9" i="2" s="1"/>
  <c r="F8" i="1"/>
  <c r="J11" i="2" s="1"/>
  <c r="C210" i="4" s="1"/>
  <c r="F9" i="1"/>
  <c r="J13" i="2" s="1"/>
  <c r="F10" i="1"/>
  <c r="J15" i="2" s="1"/>
  <c r="F11" i="1"/>
  <c r="J17" i="2" s="1"/>
  <c r="C354" i="4" s="1"/>
  <c r="G283" i="9"/>
  <c r="G284" i="9"/>
  <c r="G285" i="9"/>
  <c r="G286" i="9"/>
  <c r="G287" i="9"/>
  <c r="G288" i="9"/>
  <c r="G289" i="9"/>
  <c r="G290" i="9"/>
  <c r="G291" i="9"/>
  <c r="G292" i="9"/>
  <c r="G293" i="9"/>
  <c r="G294" i="9"/>
  <c r="G295" i="9"/>
  <c r="G296" i="9"/>
  <c r="G297" i="9"/>
  <c r="G298" i="9"/>
  <c r="G299" i="9"/>
  <c r="G300" i="9"/>
  <c r="G301" i="9"/>
  <c r="G302" i="9"/>
  <c r="G303" i="9"/>
  <c r="G304" i="9"/>
  <c r="G305" i="9"/>
  <c r="G306" i="9"/>
  <c r="G307" i="9"/>
  <c r="G308" i="9"/>
  <c r="G309" i="9"/>
  <c r="G310" i="9"/>
  <c r="G311" i="9"/>
  <c r="G312" i="9"/>
  <c r="G313" i="9"/>
  <c r="G314" i="9"/>
  <c r="G315" i="9"/>
  <c r="G316" i="9"/>
  <c r="G317" i="9"/>
  <c r="G318" i="9"/>
  <c r="G319" i="9"/>
  <c r="G320" i="9"/>
  <c r="G321" i="9"/>
  <c r="G322" i="9"/>
  <c r="G323" i="9"/>
  <c r="G324" i="9"/>
  <c r="G325" i="9"/>
  <c r="G326" i="9"/>
  <c r="G327" i="9"/>
  <c r="G328" i="9"/>
  <c r="G329" i="9"/>
  <c r="G330" i="9"/>
  <c r="G331" i="9"/>
  <c r="G332" i="9"/>
  <c r="G333" i="9"/>
  <c r="G334" i="9"/>
  <c r="G335" i="9"/>
  <c r="G336" i="9"/>
  <c r="G337" i="9"/>
  <c r="G338" i="9"/>
  <c r="G339" i="9"/>
  <c r="G340" i="9"/>
  <c r="G341" i="9"/>
  <c r="G342" i="9"/>
  <c r="G343" i="9"/>
  <c r="G344" i="9"/>
  <c r="G345" i="9"/>
  <c r="G346" i="9"/>
  <c r="G347" i="9"/>
  <c r="G348" i="9"/>
  <c r="G349" i="9"/>
  <c r="G350" i="9"/>
  <c r="G351" i="9"/>
  <c r="G352" i="9"/>
  <c r="G353" i="9"/>
  <c r="G354" i="9"/>
  <c r="G355" i="9"/>
  <c r="G356" i="9"/>
  <c r="G357" i="9"/>
  <c r="G358" i="9"/>
  <c r="G359" i="9"/>
  <c r="G360" i="9"/>
  <c r="G361" i="9"/>
  <c r="G362" i="9"/>
  <c r="G363" i="9"/>
  <c r="G364" i="9"/>
  <c r="G365" i="9"/>
  <c r="G366" i="9"/>
  <c r="G367" i="9"/>
  <c r="G368" i="9"/>
  <c r="G369" i="9"/>
  <c r="G370" i="9"/>
  <c r="G371" i="9"/>
  <c r="V4" i="8"/>
  <c r="V5" i="8"/>
  <c r="V6" i="8"/>
  <c r="V7" i="8"/>
  <c r="V8" i="8"/>
  <c r="V9" i="8"/>
  <c r="V10" i="8"/>
  <c r="V11" i="8"/>
  <c r="V12" i="8"/>
  <c r="V13" i="8"/>
  <c r="V14" i="8"/>
  <c r="V15" i="8"/>
  <c r="V16" i="8"/>
  <c r="V17" i="8"/>
  <c r="V18" i="8"/>
  <c r="V19" i="8"/>
  <c r="V20" i="8"/>
  <c r="V21" i="8"/>
  <c r="V22" i="8"/>
  <c r="V23" i="8"/>
  <c r="V24" i="8"/>
  <c r="V25" i="8"/>
  <c r="V26" i="8"/>
  <c r="V27" i="8"/>
  <c r="V28" i="8"/>
  <c r="V29" i="8"/>
  <c r="V30" i="8"/>
  <c r="V31" i="8"/>
  <c r="V32" i="8"/>
  <c r="V33" i="8"/>
  <c r="V34" i="8"/>
  <c r="V35" i="8"/>
  <c r="V36" i="8"/>
  <c r="V37" i="8"/>
  <c r="V38" i="8"/>
  <c r="V39" i="8"/>
  <c r="V40" i="8"/>
  <c r="V41" i="8"/>
  <c r="V42" i="8"/>
  <c r="V43" i="8"/>
  <c r="V44" i="8"/>
  <c r="V45" i="8"/>
  <c r="V46" i="8"/>
  <c r="V47" i="8"/>
  <c r="V48" i="8"/>
  <c r="V49" i="8"/>
  <c r="V50" i="8"/>
  <c r="V51" i="8"/>
  <c r="V52" i="8"/>
  <c r="V53" i="8"/>
  <c r="V54" i="8"/>
  <c r="V55" i="8"/>
  <c r="V56" i="8"/>
  <c r="V57" i="8"/>
  <c r="V58" i="8"/>
  <c r="V59" i="8"/>
  <c r="V60" i="8"/>
  <c r="V61" i="8"/>
  <c r="V62" i="8"/>
  <c r="V63" i="8"/>
  <c r="V64" i="8"/>
  <c r="V65" i="8"/>
  <c r="V66" i="8"/>
  <c r="V67" i="8"/>
  <c r="V68" i="8"/>
  <c r="V69" i="8"/>
  <c r="V70" i="8"/>
  <c r="V71" i="8"/>
  <c r="V72" i="8"/>
  <c r="V73" i="8"/>
  <c r="V74" i="8"/>
  <c r="V75" i="8"/>
  <c r="V76" i="8"/>
  <c r="V77" i="8"/>
  <c r="V78" i="8"/>
  <c r="V79" i="8"/>
  <c r="V80" i="8"/>
  <c r="V81" i="8"/>
  <c r="V82" i="8"/>
  <c r="V83" i="8"/>
  <c r="V84" i="8"/>
  <c r="V85" i="8"/>
  <c r="V86" i="8"/>
  <c r="V87" i="8"/>
  <c r="V88" i="8"/>
  <c r="V89" i="8"/>
  <c r="V90" i="8"/>
  <c r="V91" i="8"/>
  <c r="V92" i="8"/>
  <c r="V93" i="8"/>
  <c r="V94" i="8"/>
  <c r="V95" i="8"/>
  <c r="V96" i="8"/>
  <c r="V97" i="8"/>
  <c r="V98" i="8"/>
  <c r="V3" i="8"/>
  <c r="O4" i="8"/>
  <c r="O5" i="8"/>
  <c r="O6" i="8"/>
  <c r="O7" i="8"/>
  <c r="O8" i="8"/>
  <c r="O9" i="8"/>
  <c r="O10" i="8"/>
  <c r="O11" i="8"/>
  <c r="O12" i="8"/>
  <c r="O13" i="8"/>
  <c r="O14" i="8"/>
  <c r="O15" i="8"/>
  <c r="O16" i="8"/>
  <c r="O17" i="8"/>
  <c r="O18" i="8"/>
  <c r="O19" i="8"/>
  <c r="O20" i="8"/>
  <c r="O21" i="8"/>
  <c r="O22" i="8"/>
  <c r="O23" i="8"/>
  <c r="O24" i="8"/>
  <c r="O25" i="8"/>
  <c r="O26" i="8"/>
  <c r="O27" i="8"/>
  <c r="O28" i="8"/>
  <c r="O29" i="8"/>
  <c r="O30" i="8"/>
  <c r="O31" i="8"/>
  <c r="O32" i="8"/>
  <c r="O33" i="8"/>
  <c r="O34" i="8"/>
  <c r="O35" i="8"/>
  <c r="O36" i="8"/>
  <c r="O37" i="8"/>
  <c r="O38" i="8"/>
  <c r="O39" i="8"/>
  <c r="O40" i="8"/>
  <c r="O41" i="8"/>
  <c r="O42" i="8"/>
  <c r="O43" i="8"/>
  <c r="O44" i="8"/>
  <c r="O45" i="8"/>
  <c r="O46" i="8"/>
  <c r="O47" i="8"/>
  <c r="O48" i="8"/>
  <c r="O49" i="8"/>
  <c r="O50" i="8"/>
  <c r="O51" i="8"/>
  <c r="O52" i="8"/>
  <c r="O53" i="8"/>
  <c r="O54" i="8"/>
  <c r="O55" i="8"/>
  <c r="O56" i="8"/>
  <c r="O57" i="8"/>
  <c r="O58" i="8"/>
  <c r="O59" i="8"/>
  <c r="O60" i="8"/>
  <c r="O61" i="8"/>
  <c r="O62" i="8"/>
  <c r="O63" i="8"/>
  <c r="O64" i="8"/>
  <c r="O65" i="8"/>
  <c r="O66" i="8"/>
  <c r="O67" i="8"/>
  <c r="O68" i="8"/>
  <c r="O69" i="8"/>
  <c r="O70" i="8"/>
  <c r="O71" i="8"/>
  <c r="O72" i="8"/>
  <c r="O73" i="8"/>
  <c r="O74" i="8"/>
  <c r="O75" i="8"/>
  <c r="O76" i="8"/>
  <c r="O77" i="8"/>
  <c r="O78" i="8"/>
  <c r="O79" i="8"/>
  <c r="O80" i="8"/>
  <c r="O81" i="8"/>
  <c r="O82" i="8"/>
  <c r="O83" i="8"/>
  <c r="O84" i="8"/>
  <c r="O85" i="8"/>
  <c r="O86" i="8"/>
  <c r="O87" i="8"/>
  <c r="O88" i="8"/>
  <c r="O89" i="8"/>
  <c r="O90" i="8"/>
  <c r="O91" i="8"/>
  <c r="O92" i="8"/>
  <c r="O93" i="8"/>
  <c r="O94" i="8"/>
  <c r="O95" i="8"/>
  <c r="O96" i="8"/>
  <c r="O97" i="8"/>
  <c r="O98" i="8"/>
  <c r="O3" i="8"/>
  <c r="H4" i="8"/>
  <c r="H5" i="8"/>
  <c r="H6" i="8"/>
  <c r="H7" i="8"/>
  <c r="H8" i="8"/>
  <c r="H9" i="8"/>
  <c r="H10" i="8"/>
  <c r="H11" i="8"/>
  <c r="H12" i="8"/>
  <c r="H13" i="8"/>
  <c r="H14" i="8"/>
  <c r="H15" i="8"/>
  <c r="H16" i="8"/>
  <c r="H17" i="8"/>
  <c r="H18" i="8"/>
  <c r="H19" i="8"/>
  <c r="H20" i="8"/>
  <c r="H21" i="8"/>
  <c r="H22" i="8"/>
  <c r="H23" i="8"/>
  <c r="H24" i="8"/>
  <c r="H25" i="8"/>
  <c r="H26" i="8"/>
  <c r="H27" i="8"/>
  <c r="H28" i="8"/>
  <c r="H29" i="8"/>
  <c r="H30" i="8"/>
  <c r="H31" i="8"/>
  <c r="H32" i="8"/>
  <c r="H33" i="8"/>
  <c r="H34" i="8"/>
  <c r="H35" i="8"/>
  <c r="H36" i="8"/>
  <c r="H37" i="8"/>
  <c r="H38" i="8"/>
  <c r="H39" i="8"/>
  <c r="H40" i="8"/>
  <c r="H41" i="8"/>
  <c r="H42" i="8"/>
  <c r="H43" i="8"/>
  <c r="H44" i="8"/>
  <c r="H45" i="8"/>
  <c r="H46" i="8"/>
  <c r="H47" i="8"/>
  <c r="H48" i="8"/>
  <c r="H49" i="8"/>
  <c r="H50" i="8"/>
  <c r="H51" i="8"/>
  <c r="H52" i="8"/>
  <c r="H53" i="8"/>
  <c r="H54" i="8"/>
  <c r="H55" i="8"/>
  <c r="H56" i="8"/>
  <c r="H57" i="8"/>
  <c r="H58" i="8"/>
  <c r="H59" i="8"/>
  <c r="H60" i="8"/>
  <c r="H61" i="8"/>
  <c r="H62" i="8"/>
  <c r="H63" i="8"/>
  <c r="H64" i="8"/>
  <c r="H65" i="8"/>
  <c r="H66" i="8"/>
  <c r="H67" i="8"/>
  <c r="H68" i="8"/>
  <c r="H69" i="8"/>
  <c r="H70" i="8"/>
  <c r="H71" i="8"/>
  <c r="H72" i="8"/>
  <c r="H73" i="8"/>
  <c r="H74" i="8"/>
  <c r="H75" i="8"/>
  <c r="H76" i="8"/>
  <c r="H77" i="8"/>
  <c r="H78" i="8"/>
  <c r="H79" i="8"/>
  <c r="H80" i="8"/>
  <c r="H81" i="8"/>
  <c r="H82" i="8"/>
  <c r="H83" i="8"/>
  <c r="H84" i="8"/>
  <c r="H85" i="8"/>
  <c r="H86" i="8"/>
  <c r="H87" i="8"/>
  <c r="H88" i="8"/>
  <c r="H89" i="8"/>
  <c r="H90" i="8"/>
  <c r="H91" i="8"/>
  <c r="H92" i="8"/>
  <c r="H93" i="8"/>
  <c r="H94" i="8"/>
  <c r="H95" i="8"/>
  <c r="H96" i="8"/>
  <c r="H97" i="8"/>
  <c r="H98" i="8"/>
  <c r="H3" i="8"/>
  <c r="A94" i="8"/>
  <c r="A95" i="8"/>
  <c r="A96" i="8"/>
  <c r="A97" i="8"/>
  <c r="A98" i="8"/>
  <c r="W4" i="8"/>
  <c r="X4" i="8" s="1"/>
  <c r="W5" i="8"/>
  <c r="W6" i="8"/>
  <c r="W7" i="8"/>
  <c r="X7" i="8" s="1"/>
  <c r="W8" i="8"/>
  <c r="X8" i="8" s="1"/>
  <c r="W9" i="8"/>
  <c r="W10" i="8"/>
  <c r="X10" i="8" s="1"/>
  <c r="W11" i="8"/>
  <c r="Y11" i="8" s="1"/>
  <c r="W12" i="8"/>
  <c r="X12" i="8" s="1"/>
  <c r="W13" i="8"/>
  <c r="W14" i="8"/>
  <c r="W15" i="8"/>
  <c r="W16" i="8"/>
  <c r="X16" i="8" s="1"/>
  <c r="W17" i="8"/>
  <c r="W18" i="8"/>
  <c r="W19" i="8"/>
  <c r="W20" i="8"/>
  <c r="X20" i="8" s="1"/>
  <c r="W21" i="8"/>
  <c r="W22" i="8"/>
  <c r="X22" i="8" s="1"/>
  <c r="W23" i="8"/>
  <c r="W24" i="8"/>
  <c r="X24" i="8" s="1"/>
  <c r="W25" i="8"/>
  <c r="W26" i="8"/>
  <c r="W27" i="8"/>
  <c r="W28" i="8"/>
  <c r="Y28" i="8" s="1"/>
  <c r="W29" i="8"/>
  <c r="W30" i="8"/>
  <c r="W31" i="8"/>
  <c r="W32" i="8"/>
  <c r="X32" i="8" s="1"/>
  <c r="W33" i="8"/>
  <c r="W34" i="8"/>
  <c r="W35" i="8"/>
  <c r="W36" i="8"/>
  <c r="Y36" i="8" s="1"/>
  <c r="W37" i="8"/>
  <c r="W38" i="8"/>
  <c r="W39" i="8"/>
  <c r="Y39" i="8" s="1"/>
  <c r="W40" i="8"/>
  <c r="X40" i="8" s="1"/>
  <c r="W41" i="8"/>
  <c r="W42" i="8"/>
  <c r="W43" i="8"/>
  <c r="X43" i="8" s="1"/>
  <c r="W44" i="8"/>
  <c r="Y44" i="8" s="1"/>
  <c r="W45" i="8"/>
  <c r="W46" i="8"/>
  <c r="X46" i="8" s="1"/>
  <c r="W47" i="8"/>
  <c r="Y47" i="8" s="1"/>
  <c r="W48" i="8"/>
  <c r="Y48" i="8" s="1"/>
  <c r="W49" i="8"/>
  <c r="W50" i="8"/>
  <c r="Y50" i="8" s="1"/>
  <c r="W51" i="8"/>
  <c r="X51" i="8" s="1"/>
  <c r="W52" i="8"/>
  <c r="X52" i="8" s="1"/>
  <c r="W53" i="8"/>
  <c r="W54" i="8"/>
  <c r="W55" i="8"/>
  <c r="W56" i="8"/>
  <c r="X56" i="8" s="1"/>
  <c r="W57" i="8"/>
  <c r="W58" i="8"/>
  <c r="W59" i="8"/>
  <c r="X59" i="8" s="1"/>
  <c r="W60" i="8"/>
  <c r="X60" i="8" s="1"/>
  <c r="W61" i="8"/>
  <c r="W62" i="8"/>
  <c r="W63" i="8"/>
  <c r="W64" i="8"/>
  <c r="X64" i="8" s="1"/>
  <c r="W65" i="8"/>
  <c r="W66" i="8"/>
  <c r="Y66" i="8" s="1"/>
  <c r="W67" i="8"/>
  <c r="X67" i="8" s="1"/>
  <c r="W68" i="8"/>
  <c r="X68" i="8" s="1"/>
  <c r="W69" i="8"/>
  <c r="W70" i="8"/>
  <c r="W71" i="8"/>
  <c r="W72" i="8"/>
  <c r="Y72" i="8" s="1"/>
  <c r="W73" i="8"/>
  <c r="W74" i="8"/>
  <c r="X74" i="8" s="1"/>
  <c r="W75" i="8"/>
  <c r="W76" i="8"/>
  <c r="X76" i="8" s="1"/>
  <c r="W77" i="8"/>
  <c r="W78" i="8"/>
  <c r="W79" i="8"/>
  <c r="W80" i="8"/>
  <c r="X80" i="8" s="1"/>
  <c r="W81" i="8"/>
  <c r="W82" i="8"/>
  <c r="W83" i="8"/>
  <c r="W84" i="8"/>
  <c r="Y84" i="8" s="1"/>
  <c r="W85" i="8"/>
  <c r="W86" i="8"/>
  <c r="W87" i="8"/>
  <c r="Y87" i="8" s="1"/>
  <c r="W88" i="8"/>
  <c r="Y88" i="8" s="1"/>
  <c r="W89" i="8"/>
  <c r="W90" i="8"/>
  <c r="W91" i="8"/>
  <c r="W92" i="8"/>
  <c r="Y92" i="8" s="1"/>
  <c r="W93" i="8"/>
  <c r="W94" i="8"/>
  <c r="X94" i="8" s="1"/>
  <c r="W95" i="8"/>
  <c r="W96" i="8"/>
  <c r="X96" i="8" s="1"/>
  <c r="W97" i="8"/>
  <c r="Y97" i="8" s="1"/>
  <c r="W98" i="8"/>
  <c r="W3" i="8"/>
  <c r="X3" i="8" s="1"/>
  <c r="P4" i="8"/>
  <c r="P5" i="8"/>
  <c r="R5" i="8" s="1"/>
  <c r="P6" i="8"/>
  <c r="R6" i="8" s="1"/>
  <c r="P7" i="8"/>
  <c r="Q7" i="8" s="1"/>
  <c r="P8" i="8"/>
  <c r="P9" i="8"/>
  <c r="R9" i="8" s="1"/>
  <c r="P10" i="8"/>
  <c r="Q10" i="8" s="1"/>
  <c r="P11" i="8"/>
  <c r="R11" i="8" s="1"/>
  <c r="P12" i="8"/>
  <c r="R12" i="8" s="1"/>
  <c r="P13" i="8"/>
  <c r="P14" i="8"/>
  <c r="R14" i="8" s="1"/>
  <c r="P15" i="8"/>
  <c r="R15" i="8" s="1"/>
  <c r="P16" i="8"/>
  <c r="P17" i="8"/>
  <c r="R17" i="8" s="1"/>
  <c r="P18" i="8"/>
  <c r="P19" i="8"/>
  <c r="R19" i="8" s="1"/>
  <c r="P20" i="8"/>
  <c r="P21" i="8"/>
  <c r="P22" i="8"/>
  <c r="P23" i="8"/>
  <c r="Q23" i="8" s="1"/>
  <c r="P24" i="8"/>
  <c r="P25" i="8"/>
  <c r="R25" i="8" s="1"/>
  <c r="P26" i="8"/>
  <c r="R26" i="8" s="1"/>
  <c r="P27" i="8"/>
  <c r="R27" i="8" s="1"/>
  <c r="P28" i="8"/>
  <c r="P29" i="8"/>
  <c r="P30" i="8"/>
  <c r="P31" i="8"/>
  <c r="R31" i="8" s="1"/>
  <c r="Q31" i="8"/>
  <c r="P32" i="8"/>
  <c r="P33" i="8"/>
  <c r="P34" i="8"/>
  <c r="R34" i="8" s="1"/>
  <c r="P35" i="8"/>
  <c r="P36" i="8"/>
  <c r="Q36" i="8" s="1"/>
  <c r="P37" i="8"/>
  <c r="P38" i="8"/>
  <c r="Q38" i="8" s="1"/>
  <c r="P39" i="8"/>
  <c r="P40" i="8"/>
  <c r="P41" i="8"/>
  <c r="P42" i="8"/>
  <c r="R42" i="8" s="1"/>
  <c r="P43" i="8"/>
  <c r="P44" i="8"/>
  <c r="Q44" i="8" s="1"/>
  <c r="P45" i="8"/>
  <c r="P46" i="8"/>
  <c r="Q46" i="8" s="1"/>
  <c r="P47" i="8"/>
  <c r="Q47" i="8" s="1"/>
  <c r="P48" i="8"/>
  <c r="R48" i="8" s="1"/>
  <c r="P49" i="8"/>
  <c r="P50" i="8"/>
  <c r="P51" i="8"/>
  <c r="P52" i="8"/>
  <c r="Q52" i="8" s="1"/>
  <c r="P53" i="8"/>
  <c r="P54" i="8"/>
  <c r="R54" i="8" s="1"/>
  <c r="P55" i="8"/>
  <c r="P56" i="8"/>
  <c r="R56" i="8" s="1"/>
  <c r="P57" i="8"/>
  <c r="Q57" i="8" s="1"/>
  <c r="P58" i="8"/>
  <c r="P59" i="8"/>
  <c r="P60" i="8"/>
  <c r="P61" i="8"/>
  <c r="Q61" i="8" s="1"/>
  <c r="R61" i="8"/>
  <c r="P62" i="8"/>
  <c r="Q62" i="8" s="1"/>
  <c r="P63" i="8"/>
  <c r="Q63" i="8" s="1"/>
  <c r="P64" i="8"/>
  <c r="Q64" i="8" s="1"/>
  <c r="P65" i="8"/>
  <c r="R65" i="8" s="1"/>
  <c r="P66" i="8"/>
  <c r="R66" i="8" s="1"/>
  <c r="P67" i="8"/>
  <c r="Q67" i="8" s="1"/>
  <c r="P68" i="8"/>
  <c r="P69" i="8"/>
  <c r="R69" i="8" s="1"/>
  <c r="P70" i="8"/>
  <c r="Q70" i="8" s="1"/>
  <c r="P71" i="8"/>
  <c r="P72" i="8"/>
  <c r="R72" i="8" s="1"/>
  <c r="P73" i="8"/>
  <c r="P74" i="8"/>
  <c r="P75" i="8"/>
  <c r="R75" i="8" s="1"/>
  <c r="P76" i="8"/>
  <c r="R76" i="8" s="1"/>
  <c r="P77" i="8"/>
  <c r="R77" i="8" s="1"/>
  <c r="P78" i="8"/>
  <c r="Q78" i="8" s="1"/>
  <c r="P79" i="8"/>
  <c r="P80" i="8"/>
  <c r="P81" i="8"/>
  <c r="P82" i="8"/>
  <c r="R82" i="8" s="1"/>
  <c r="P83" i="8"/>
  <c r="R83" i="8" s="1"/>
  <c r="P84" i="8"/>
  <c r="Q84" i="8" s="1"/>
  <c r="P85" i="8"/>
  <c r="P86" i="8"/>
  <c r="R86" i="8" s="1"/>
  <c r="P87" i="8"/>
  <c r="Q87" i="8" s="1"/>
  <c r="P88" i="8"/>
  <c r="P89" i="8"/>
  <c r="P90" i="8"/>
  <c r="R90" i="8" s="1"/>
  <c r="P91" i="8"/>
  <c r="Q91" i="8" s="1"/>
  <c r="P92" i="8"/>
  <c r="Q92" i="8" s="1"/>
  <c r="P93" i="8"/>
  <c r="R93" i="8" s="1"/>
  <c r="P94" i="8"/>
  <c r="R94" i="8" s="1"/>
  <c r="P95" i="8"/>
  <c r="Q95" i="8" s="1"/>
  <c r="P96" i="8"/>
  <c r="P97" i="8"/>
  <c r="R97" i="8" s="1"/>
  <c r="P98" i="8"/>
  <c r="R98" i="8" s="1"/>
  <c r="P3" i="8"/>
  <c r="R3" i="8" s="1"/>
  <c r="B94" i="8"/>
  <c r="C94" i="8" s="1"/>
  <c r="B95" i="8"/>
  <c r="D95" i="8" s="1"/>
  <c r="B96" i="8"/>
  <c r="B97" i="8"/>
  <c r="D97" i="8" s="1"/>
  <c r="B98" i="8"/>
  <c r="D98" i="8" s="1"/>
  <c r="I4" i="8"/>
  <c r="I5" i="8"/>
  <c r="K5" i="8" s="1"/>
  <c r="I6" i="8"/>
  <c r="J6" i="8" s="1"/>
  <c r="I7" i="8"/>
  <c r="I8" i="8"/>
  <c r="J8" i="8" s="1"/>
  <c r="I9" i="8"/>
  <c r="I10" i="8"/>
  <c r="J10" i="8" s="1"/>
  <c r="I11" i="8"/>
  <c r="I12" i="8"/>
  <c r="I13" i="8"/>
  <c r="K13" i="8" s="1"/>
  <c r="I14" i="8"/>
  <c r="I15" i="8"/>
  <c r="K15" i="8" s="1"/>
  <c r="I16" i="8"/>
  <c r="J16" i="8" s="1"/>
  <c r="I17" i="8"/>
  <c r="K17" i="8" s="1"/>
  <c r="I18" i="8"/>
  <c r="I19" i="8"/>
  <c r="K19" i="8" s="1"/>
  <c r="I20" i="8"/>
  <c r="J20" i="8" s="1"/>
  <c r="I21" i="8"/>
  <c r="I22" i="8"/>
  <c r="I23" i="8"/>
  <c r="I24" i="8"/>
  <c r="K24" i="8" s="1"/>
  <c r="I25" i="8"/>
  <c r="J25" i="8" s="1"/>
  <c r="I26" i="8"/>
  <c r="J26" i="8" s="1"/>
  <c r="I27" i="8"/>
  <c r="K27" i="8" s="1"/>
  <c r="I28" i="8"/>
  <c r="K28" i="8" s="1"/>
  <c r="I29" i="8"/>
  <c r="K29" i="8"/>
  <c r="I30" i="8"/>
  <c r="I31" i="8"/>
  <c r="K31" i="8" s="1"/>
  <c r="I32" i="8"/>
  <c r="K32" i="8" s="1"/>
  <c r="I33" i="8"/>
  <c r="J33" i="8" s="1"/>
  <c r="I34" i="8"/>
  <c r="K34" i="8" s="1"/>
  <c r="I35" i="8"/>
  <c r="K35" i="8" s="1"/>
  <c r="I36" i="8"/>
  <c r="K36" i="8" s="1"/>
  <c r="I37" i="8"/>
  <c r="I38" i="8"/>
  <c r="I39" i="8"/>
  <c r="I40" i="8"/>
  <c r="I41" i="8"/>
  <c r="K41" i="8" s="1"/>
  <c r="I42" i="8"/>
  <c r="J42" i="8" s="1"/>
  <c r="I43" i="8"/>
  <c r="K43" i="8" s="1"/>
  <c r="I44" i="8"/>
  <c r="K44" i="8" s="1"/>
  <c r="I45" i="8"/>
  <c r="K45" i="8" s="1"/>
  <c r="J45" i="8"/>
  <c r="I46" i="8"/>
  <c r="K46" i="8" s="1"/>
  <c r="I47" i="8"/>
  <c r="K47" i="8" s="1"/>
  <c r="I48" i="8"/>
  <c r="J48" i="8" s="1"/>
  <c r="I49" i="8"/>
  <c r="K49" i="8" s="1"/>
  <c r="I50" i="8"/>
  <c r="I51" i="8"/>
  <c r="K51" i="8" s="1"/>
  <c r="I52" i="8"/>
  <c r="J52" i="8" s="1"/>
  <c r="I53" i="8"/>
  <c r="K53" i="8" s="1"/>
  <c r="I54" i="8"/>
  <c r="J54" i="8" s="1"/>
  <c r="I55" i="8"/>
  <c r="J55" i="8" s="1"/>
  <c r="I56" i="8"/>
  <c r="K56" i="8" s="1"/>
  <c r="I57" i="8"/>
  <c r="I58" i="8"/>
  <c r="I59" i="8"/>
  <c r="I60" i="8"/>
  <c r="J60" i="8" s="1"/>
  <c r="I61" i="8"/>
  <c r="I62" i="8"/>
  <c r="K62" i="8" s="1"/>
  <c r="I63" i="8"/>
  <c r="I64" i="8"/>
  <c r="K64" i="8" s="1"/>
  <c r="I65" i="8"/>
  <c r="K65" i="8" s="1"/>
  <c r="I66" i="8"/>
  <c r="K66" i="8" s="1"/>
  <c r="I67" i="8"/>
  <c r="K67" i="8" s="1"/>
  <c r="I68" i="8"/>
  <c r="J68" i="8" s="1"/>
  <c r="I69" i="8"/>
  <c r="J69" i="8" s="1"/>
  <c r="I70" i="8"/>
  <c r="J70" i="8" s="1"/>
  <c r="I71" i="8"/>
  <c r="K71" i="8" s="1"/>
  <c r="I72" i="8"/>
  <c r="I73" i="8"/>
  <c r="K73" i="8" s="1"/>
  <c r="I74" i="8"/>
  <c r="K74" i="8" s="1"/>
  <c r="I75" i="8"/>
  <c r="J75" i="8" s="1"/>
  <c r="I76" i="8"/>
  <c r="I77" i="8"/>
  <c r="J77" i="8" s="1"/>
  <c r="I78" i="8"/>
  <c r="K78" i="8" s="1"/>
  <c r="I79" i="8"/>
  <c r="J79" i="8" s="1"/>
  <c r="I80" i="8"/>
  <c r="I81" i="8"/>
  <c r="K81" i="8" s="1"/>
  <c r="I82" i="8"/>
  <c r="K82" i="8" s="1"/>
  <c r="I83" i="8"/>
  <c r="J83" i="8" s="1"/>
  <c r="I84" i="8"/>
  <c r="I85" i="8"/>
  <c r="J85" i="8" s="1"/>
  <c r="I86" i="8"/>
  <c r="I87" i="8"/>
  <c r="K87" i="8" s="1"/>
  <c r="I88" i="8"/>
  <c r="J88" i="8" s="1"/>
  <c r="I89" i="8"/>
  <c r="J89" i="8" s="1"/>
  <c r="I90" i="8"/>
  <c r="K90" i="8" s="1"/>
  <c r="I91" i="8"/>
  <c r="I92" i="8"/>
  <c r="K92" i="8" s="1"/>
  <c r="I93" i="8"/>
  <c r="J93" i="8" s="1"/>
  <c r="I94" i="8"/>
  <c r="J94" i="8" s="1"/>
  <c r="I95" i="8"/>
  <c r="K95" i="8" s="1"/>
  <c r="I96" i="8"/>
  <c r="I97" i="8"/>
  <c r="I98" i="8"/>
  <c r="K98" i="8" s="1"/>
  <c r="I3" i="8"/>
  <c r="K3" i="8" s="1"/>
  <c r="M37" i="1"/>
  <c r="Y4" i="2" s="1"/>
  <c r="M38" i="1"/>
  <c r="Y6" i="2" s="1"/>
  <c r="M39" i="1"/>
  <c r="Y8" i="2" s="1"/>
  <c r="M40" i="1"/>
  <c r="Y10" i="2" s="1"/>
  <c r="C201" i="4" s="1"/>
  <c r="M41" i="1"/>
  <c r="Y12" i="2" s="1"/>
  <c r="M42" i="1"/>
  <c r="Y14" i="2" s="1"/>
  <c r="C297" i="4" s="1"/>
  <c r="M43" i="1"/>
  <c r="Y16" i="2" s="1"/>
  <c r="A399" i="7" s="1"/>
  <c r="C399" i="7" s="1"/>
  <c r="Z97" i="8" s="1"/>
  <c r="M44" i="1"/>
  <c r="Y18" i="2" s="1"/>
  <c r="K38" i="1"/>
  <c r="U6" i="2" s="1"/>
  <c r="K39" i="1"/>
  <c r="U8" i="2" s="1"/>
  <c r="C149" i="4" s="1"/>
  <c r="K40" i="1"/>
  <c r="U10" i="2" s="1"/>
  <c r="C197" i="4" s="1"/>
  <c r="K41" i="1"/>
  <c r="U12" i="2"/>
  <c r="C245" i="4" s="1"/>
  <c r="K42" i="1"/>
  <c r="U14" i="2" s="1"/>
  <c r="K43" i="1"/>
  <c r="U16" i="2" s="1"/>
  <c r="A367" i="7" s="1"/>
  <c r="K44" i="1"/>
  <c r="U18" i="2" s="1"/>
  <c r="K37" i="1"/>
  <c r="U4" i="2" s="1"/>
  <c r="C53" i="4" s="1"/>
  <c r="J38" i="1"/>
  <c r="S6" i="2" s="1"/>
  <c r="A341" i="7" s="1"/>
  <c r="J39" i="1"/>
  <c r="S8" i="2" s="1"/>
  <c r="J40" i="1"/>
  <c r="S10" i="2" s="1"/>
  <c r="J41" i="1"/>
  <c r="S12" i="2" s="1"/>
  <c r="A347" i="7" s="1"/>
  <c r="B347" i="7" s="1"/>
  <c r="J42" i="1"/>
  <c r="S14" i="2" s="1"/>
  <c r="A349" i="7" s="1"/>
  <c r="B349" i="7" s="1"/>
  <c r="J43" i="1"/>
  <c r="S16" i="2" s="1"/>
  <c r="J44" i="1"/>
  <c r="S18" i="2" s="1"/>
  <c r="C387" i="4" s="1"/>
  <c r="J37" i="1"/>
  <c r="S4" i="2" s="1"/>
  <c r="A339" i="7" s="1"/>
  <c r="I38" i="1"/>
  <c r="Q6" i="2" s="1"/>
  <c r="I39" i="1"/>
  <c r="Q8" i="2" s="1"/>
  <c r="C145" i="4" s="1"/>
  <c r="I40" i="1"/>
  <c r="Q10" i="2" s="1"/>
  <c r="C193" i="4" s="1"/>
  <c r="I41" i="1"/>
  <c r="Q12" i="2"/>
  <c r="A331" i="7" s="1"/>
  <c r="B331" i="7" s="1"/>
  <c r="I42" i="1"/>
  <c r="Q14" i="2" s="1"/>
  <c r="A333" i="7" s="1"/>
  <c r="C333" i="7" s="1"/>
  <c r="I43" i="1"/>
  <c r="Q16" i="2" s="1"/>
  <c r="I44" i="1"/>
  <c r="Q18" i="2" s="1"/>
  <c r="I37" i="1"/>
  <c r="Q4" i="2" s="1"/>
  <c r="H38" i="1"/>
  <c r="O6" i="2" s="1"/>
  <c r="H39" i="1"/>
  <c r="O8" i="2" s="1"/>
  <c r="C143" i="4" s="1"/>
  <c r="H40" i="1"/>
  <c r="O10" i="2" s="1"/>
  <c r="C191" i="4" s="1"/>
  <c r="H41" i="1"/>
  <c r="O12" i="2" s="1"/>
  <c r="H42" i="1"/>
  <c r="O14" i="2" s="1"/>
  <c r="A317" i="7" s="1"/>
  <c r="C317" i="7" s="1"/>
  <c r="D317" i="7" s="1"/>
  <c r="H43" i="1"/>
  <c r="O16" i="2" s="1"/>
  <c r="H44" i="1"/>
  <c r="O18" i="2" s="1"/>
  <c r="C383" i="4" s="1"/>
  <c r="H37" i="1"/>
  <c r="O4" i="2" s="1"/>
  <c r="G38" i="1"/>
  <c r="M6" i="2" s="1"/>
  <c r="C93" i="4" s="1"/>
  <c r="G39" i="1"/>
  <c r="M8" i="2" s="1"/>
  <c r="G40" i="1"/>
  <c r="M10" i="2" s="1"/>
  <c r="G41" i="1"/>
  <c r="M12" i="2" s="1"/>
  <c r="G42" i="1"/>
  <c r="M14" i="2"/>
  <c r="C285" i="4" s="1"/>
  <c r="G43" i="1"/>
  <c r="M16" i="2" s="1"/>
  <c r="C333" i="4" s="1"/>
  <c r="G44" i="1"/>
  <c r="M18" i="2" s="1"/>
  <c r="G37" i="1"/>
  <c r="M4" i="2" s="1"/>
  <c r="F38" i="1"/>
  <c r="K6" i="2" s="1"/>
  <c r="C91" i="4" s="1"/>
  <c r="F39" i="1"/>
  <c r="K8" i="2" s="1"/>
  <c r="F40" i="1"/>
  <c r="K10" i="2" s="1"/>
  <c r="A281" i="7" s="1"/>
  <c r="F41" i="1"/>
  <c r="K12" i="2" s="1"/>
  <c r="F42" i="1"/>
  <c r="K14" i="2"/>
  <c r="C283" i="4" s="1"/>
  <c r="F43" i="1"/>
  <c r="K16" i="2" s="1"/>
  <c r="F44" i="1"/>
  <c r="K18" i="2"/>
  <c r="C379" i="4" s="1"/>
  <c r="F37" i="1"/>
  <c r="K4" i="2" s="1"/>
  <c r="C43" i="4" s="1"/>
  <c r="E38" i="1"/>
  <c r="I6" i="2" s="1"/>
  <c r="E39" i="1"/>
  <c r="I8" i="2" s="1"/>
  <c r="E40" i="1"/>
  <c r="I10" i="2" s="1"/>
  <c r="E41" i="1"/>
  <c r="I12" i="2" s="1"/>
  <c r="E42" i="1"/>
  <c r="I14" i="2"/>
  <c r="C281" i="4" s="1"/>
  <c r="E43" i="1"/>
  <c r="I16" i="2" s="1"/>
  <c r="A271" i="7" s="1"/>
  <c r="B271" i="7" s="1"/>
  <c r="E44" i="1"/>
  <c r="I18" i="2" s="1"/>
  <c r="C377" i="4" s="1"/>
  <c r="E37" i="1"/>
  <c r="I4" i="2" s="1"/>
  <c r="A259" i="7" s="1"/>
  <c r="B259" i="7" s="1"/>
  <c r="D38" i="1"/>
  <c r="G6" i="2" s="1"/>
  <c r="D39" i="1"/>
  <c r="G8" i="2" s="1"/>
  <c r="C135" i="4" s="1"/>
  <c r="D40" i="1"/>
  <c r="G10" i="2" s="1"/>
  <c r="D41" i="1"/>
  <c r="G12" i="2" s="1"/>
  <c r="A251" i="7" s="1"/>
  <c r="B251" i="7" s="1"/>
  <c r="D42" i="1"/>
  <c r="G14" i="2" s="1"/>
  <c r="C279" i="4" s="1"/>
  <c r="D43" i="1"/>
  <c r="G16" i="2" s="1"/>
  <c r="D44" i="1"/>
  <c r="G18" i="2" s="1"/>
  <c r="C375" i="4" s="1"/>
  <c r="D37" i="1"/>
  <c r="G4" i="2" s="1"/>
  <c r="C38" i="1"/>
  <c r="E6" i="2" s="1"/>
  <c r="C39" i="1"/>
  <c r="E8" i="2" s="1"/>
  <c r="C40" i="1"/>
  <c r="E10" i="2" s="1"/>
  <c r="C41" i="1"/>
  <c r="E12" i="2" s="1"/>
  <c r="C42" i="1"/>
  <c r="E14" i="2"/>
  <c r="C43" i="1"/>
  <c r="E16" i="2" s="1"/>
  <c r="A239" i="7" s="1"/>
  <c r="C44" i="1"/>
  <c r="E18" i="2" s="1"/>
  <c r="C373" i="4" s="1"/>
  <c r="C37" i="1"/>
  <c r="E4" i="2" s="1"/>
  <c r="B38" i="1"/>
  <c r="C6" i="2" s="1"/>
  <c r="B39" i="1"/>
  <c r="C8" i="2" s="1"/>
  <c r="B40" i="1"/>
  <c r="C10" i="2" s="1"/>
  <c r="C179" i="4" s="1"/>
  <c r="B41" i="1"/>
  <c r="C12" i="2" s="1"/>
  <c r="B42" i="1"/>
  <c r="C14" i="2"/>
  <c r="A221" i="7" s="1"/>
  <c r="B43" i="1"/>
  <c r="C16" i="2" s="1"/>
  <c r="B44" i="1"/>
  <c r="C18" i="2"/>
  <c r="C371" i="4" s="1"/>
  <c r="B37" i="1"/>
  <c r="C4" i="2" s="1"/>
  <c r="G27" i="1"/>
  <c r="M5" i="2" s="1"/>
  <c r="C69" i="4" s="1"/>
  <c r="G28" i="1"/>
  <c r="M7" i="2" s="1"/>
  <c r="G29" i="1"/>
  <c r="M9" i="2" s="1"/>
  <c r="A296" i="7" s="1"/>
  <c r="B296" i="7" s="1"/>
  <c r="G30" i="1"/>
  <c r="M11" i="2" s="1"/>
  <c r="G31" i="1"/>
  <c r="M13" i="2" s="1"/>
  <c r="C261" i="4" s="1"/>
  <c r="G32" i="1"/>
  <c r="M15" i="2" s="1"/>
  <c r="A302" i="7" s="1"/>
  <c r="C302" i="7" s="1"/>
  <c r="G33" i="1"/>
  <c r="M17" i="2" s="1"/>
  <c r="C357" i="4" s="1"/>
  <c r="G26" i="1"/>
  <c r="M3" i="2" s="1"/>
  <c r="L27" i="1"/>
  <c r="W5" i="2" s="1"/>
  <c r="A372" i="7" s="1"/>
  <c r="C372" i="7" s="1"/>
  <c r="L28" i="1"/>
  <c r="W7" i="2"/>
  <c r="C127" i="4" s="1"/>
  <c r="L29" i="1"/>
  <c r="W9" i="2" s="1"/>
  <c r="L30" i="1"/>
  <c r="W11" i="2" s="1"/>
  <c r="C223" i="4" s="1"/>
  <c r="L31" i="1"/>
  <c r="W13" i="2" s="1"/>
  <c r="L32" i="1"/>
  <c r="W15" i="2" s="1"/>
  <c r="C319" i="4" s="1"/>
  <c r="L33" i="1"/>
  <c r="W17" i="2" s="1"/>
  <c r="C367" i="4" s="1"/>
  <c r="L26" i="1"/>
  <c r="W3" i="2"/>
  <c r="C31" i="4" s="1"/>
  <c r="K27" i="1"/>
  <c r="U5" i="2" s="1"/>
  <c r="K28" i="1"/>
  <c r="U7" i="2"/>
  <c r="K29" i="1"/>
  <c r="U9" i="2" s="1"/>
  <c r="K30" i="1"/>
  <c r="U11" i="2" s="1"/>
  <c r="K31" i="1"/>
  <c r="U13" i="2" s="1"/>
  <c r="A364" i="7" s="1"/>
  <c r="K32" i="1"/>
  <c r="U15" i="2"/>
  <c r="K33" i="1"/>
  <c r="U17" i="2" s="1"/>
  <c r="K26" i="1"/>
  <c r="U3" i="2"/>
  <c r="J27" i="1"/>
  <c r="S5" i="2" s="1"/>
  <c r="A340" i="7" s="1"/>
  <c r="C340" i="7" s="1"/>
  <c r="J28" i="1"/>
  <c r="S7" i="2"/>
  <c r="C123" i="4" s="1"/>
  <c r="J29" i="1"/>
  <c r="S9" i="2" s="1"/>
  <c r="A344" i="7" s="1"/>
  <c r="J30" i="1"/>
  <c r="S11" i="2" s="1"/>
  <c r="J31" i="1"/>
  <c r="S13" i="2" s="1"/>
  <c r="A348" i="7" s="1"/>
  <c r="C348" i="7" s="1"/>
  <c r="J32" i="1"/>
  <c r="S15" i="2"/>
  <c r="J33" i="1"/>
  <c r="S17" i="2" s="1"/>
  <c r="A352" i="7" s="1"/>
  <c r="B352" i="7" s="1"/>
  <c r="J26" i="1"/>
  <c r="S3" i="2"/>
  <c r="C27" i="4" s="1"/>
  <c r="I27" i="1"/>
  <c r="Q5" i="2" s="1"/>
  <c r="I28" i="1"/>
  <c r="Q7" i="2"/>
  <c r="I29" i="1"/>
  <c r="Q9" i="2" s="1"/>
  <c r="I30" i="1"/>
  <c r="Q11" i="2" s="1"/>
  <c r="C217" i="4" s="1"/>
  <c r="I31" i="1"/>
  <c r="Q13" i="2" s="1"/>
  <c r="I32" i="1"/>
  <c r="Q15" i="2"/>
  <c r="A334" i="7" s="1"/>
  <c r="I33" i="1"/>
  <c r="Q17" i="2" s="1"/>
  <c r="C361" i="4" s="1"/>
  <c r="I26" i="1"/>
  <c r="Q3" i="2"/>
  <c r="C25" i="4" s="1"/>
  <c r="H27" i="1"/>
  <c r="O5" i="2" s="1"/>
  <c r="H28" i="1"/>
  <c r="O7" i="2" s="1"/>
  <c r="H29" i="1"/>
  <c r="O9" i="2" s="1"/>
  <c r="A312" i="7" s="1"/>
  <c r="H30" i="1"/>
  <c r="O11" i="2" s="1"/>
  <c r="C215" i="4" s="1"/>
  <c r="H31" i="1"/>
  <c r="O13" i="2" s="1"/>
  <c r="H32" i="1"/>
  <c r="O15" i="2"/>
  <c r="A318" i="7" s="1"/>
  <c r="C318" i="7" s="1"/>
  <c r="D318" i="7" s="1"/>
  <c r="H33" i="1"/>
  <c r="O17" i="2" s="1"/>
  <c r="H26" i="1"/>
  <c r="O3" i="2" s="1"/>
  <c r="A306" i="7" s="1"/>
  <c r="B306" i="7" s="1"/>
  <c r="F27" i="1"/>
  <c r="K5" i="2" s="1"/>
  <c r="C67" i="4" s="1"/>
  <c r="F28" i="1"/>
  <c r="K7" i="2" s="1"/>
  <c r="F29" i="1"/>
  <c r="K9" i="2" s="1"/>
  <c r="F30" i="1"/>
  <c r="K11" i="2" s="1"/>
  <c r="F31" i="1"/>
  <c r="K13" i="2" s="1"/>
  <c r="A284" i="7" s="1"/>
  <c r="B284" i="7" s="1"/>
  <c r="F32" i="1"/>
  <c r="K15" i="2" s="1"/>
  <c r="C307" i="4" s="1"/>
  <c r="F33" i="1"/>
  <c r="K17" i="2" s="1"/>
  <c r="F26" i="1"/>
  <c r="K3" i="2" s="1"/>
  <c r="A274" i="7" s="1"/>
  <c r="C274" i="7" s="1"/>
  <c r="S35" i="8" s="1"/>
  <c r="E27" i="1"/>
  <c r="I5" i="2" s="1"/>
  <c r="E28" i="1"/>
  <c r="I7" i="2" s="1"/>
  <c r="C113" i="4" s="1"/>
  <c r="E29" i="1"/>
  <c r="I9" i="2" s="1"/>
  <c r="A264" i="7" s="1"/>
  <c r="B264" i="7" s="1"/>
  <c r="E30" i="1"/>
  <c r="I11" i="2" s="1"/>
  <c r="E31" i="1"/>
  <c r="I13" i="2" s="1"/>
  <c r="C257" i="4" s="1"/>
  <c r="E32" i="1"/>
  <c r="I15" i="2" s="1"/>
  <c r="C305" i="4" s="1"/>
  <c r="E33" i="1"/>
  <c r="I17" i="2" s="1"/>
  <c r="A272" i="7" s="1"/>
  <c r="C272" i="7" s="1"/>
  <c r="D272" i="7" s="1"/>
  <c r="E26" i="1"/>
  <c r="I3" i="2" s="1"/>
  <c r="D27" i="1"/>
  <c r="G5" i="2" s="1"/>
  <c r="C63" i="4" s="1"/>
  <c r="D28" i="1"/>
  <c r="G7" i="2" s="1"/>
  <c r="D29" i="1"/>
  <c r="G9" i="2" s="1"/>
  <c r="A248" i="7" s="1"/>
  <c r="D30" i="1"/>
  <c r="G11" i="2" s="1"/>
  <c r="A250" i="7" s="1"/>
  <c r="D31" i="1"/>
  <c r="G13" i="2" s="1"/>
  <c r="D32" i="1"/>
  <c r="G15" i="2" s="1"/>
  <c r="D33" i="1"/>
  <c r="G17" i="2" s="1"/>
  <c r="A256" i="7" s="1"/>
  <c r="B256" i="7" s="1"/>
  <c r="D26" i="1"/>
  <c r="G3" i="2" s="1"/>
  <c r="A242" i="7" s="1"/>
  <c r="C27" i="1"/>
  <c r="E5" i="2" s="1"/>
  <c r="A228" i="7" s="1"/>
  <c r="B228" i="7" s="1"/>
  <c r="C28" i="1"/>
  <c r="E7" i="2"/>
  <c r="C109" i="4" s="1"/>
  <c r="C29" i="1"/>
  <c r="E9" i="2" s="1"/>
  <c r="C30" i="1"/>
  <c r="E11" i="2" s="1"/>
  <c r="C31" i="1"/>
  <c r="E13" i="2" s="1"/>
  <c r="C253" i="4" s="1"/>
  <c r="C32" i="1"/>
  <c r="E15" i="2" s="1"/>
  <c r="C33" i="1"/>
  <c r="E17" i="2" s="1"/>
  <c r="A240" i="7" s="1"/>
  <c r="C240" i="7" s="1"/>
  <c r="S18" i="8" s="1"/>
  <c r="C26" i="1"/>
  <c r="E3" i="2"/>
  <c r="B27" i="1"/>
  <c r="C5" i="2" s="1"/>
  <c r="A212" i="7" s="1"/>
  <c r="B212" i="7" s="1"/>
  <c r="B28" i="1"/>
  <c r="C7" i="2"/>
  <c r="A214" i="7" s="1"/>
  <c r="B29" i="1"/>
  <c r="C9" i="2" s="1"/>
  <c r="A216" i="7" s="1"/>
  <c r="B216" i="7" s="1"/>
  <c r="B30" i="1"/>
  <c r="C11" i="2" s="1"/>
  <c r="B31" i="1"/>
  <c r="C13" i="2" s="1"/>
  <c r="B32" i="1"/>
  <c r="C15" i="2"/>
  <c r="B33" i="1"/>
  <c r="C17" i="2" s="1"/>
  <c r="C347" i="4" s="1"/>
  <c r="B26" i="1"/>
  <c r="C3" i="2"/>
  <c r="Y78" i="8"/>
  <c r="X38" i="8"/>
  <c r="X88" i="8"/>
  <c r="Y56" i="8"/>
  <c r="Y20" i="8"/>
  <c r="Y52" i="8"/>
  <c r="Q82" i="8"/>
  <c r="Q48" i="8"/>
  <c r="Q6" i="8"/>
  <c r="X70" i="8"/>
  <c r="Y80" i="8"/>
  <c r="J62" i="8"/>
  <c r="K8" i="8"/>
  <c r="R10" i="8"/>
  <c r="Y74" i="8"/>
  <c r="Q98" i="8"/>
  <c r="J78" i="8"/>
  <c r="J46" i="8"/>
  <c r="Q14" i="8"/>
  <c r="R87" i="8"/>
  <c r="Q83" i="8"/>
  <c r="Q75" i="8"/>
  <c r="Q71" i="8"/>
  <c r="R55" i="8"/>
  <c r="Q43" i="8"/>
  <c r="Q39" i="8"/>
  <c r="Q15" i="8"/>
  <c r="Q11" i="8"/>
  <c r="R7" i="8"/>
  <c r="Y79" i="8"/>
  <c r="Y75" i="8"/>
  <c r="X23" i="8"/>
  <c r="Y19" i="8"/>
  <c r="J3" i="8"/>
  <c r="J51" i="8"/>
  <c r="J41" i="8"/>
  <c r="J29" i="8"/>
  <c r="J5" i="8"/>
  <c r="K93" i="8"/>
  <c r="K69" i="8"/>
  <c r="Q27" i="8"/>
  <c r="R95" i="8"/>
  <c r="J22" i="8"/>
  <c r="K22" i="8"/>
  <c r="K14" i="8"/>
  <c r="J14" i="8"/>
  <c r="Q94" i="8"/>
  <c r="Q86" i="8"/>
  <c r="R62" i="8"/>
  <c r="R50" i="8"/>
  <c r="Q50" i="8"/>
  <c r="Q30" i="8"/>
  <c r="R30" i="8"/>
  <c r="Q26" i="8"/>
  <c r="R18" i="8"/>
  <c r="Q18" i="8"/>
  <c r="Y98" i="8"/>
  <c r="X98" i="8"/>
  <c r="X86" i="8"/>
  <c r="Y86" i="8"/>
  <c r="X58" i="8"/>
  <c r="Y58" i="8"/>
  <c r="X30" i="8"/>
  <c r="Y30" i="8"/>
  <c r="J87" i="8"/>
  <c r="J82" i="8"/>
  <c r="J66" i="8"/>
  <c r="J27" i="8"/>
  <c r="J19" i="8"/>
  <c r="Q96" i="8"/>
  <c r="R91" i="8"/>
  <c r="R63" i="8"/>
  <c r="R35" i="8"/>
  <c r="Y3" i="8"/>
  <c r="Y27" i="8"/>
  <c r="Q97" i="8"/>
  <c r="R89" i="8"/>
  <c r="R81" i="8"/>
  <c r="Q81" i="8"/>
  <c r="R73" i="8"/>
  <c r="Q73" i="8"/>
  <c r="R57" i="8"/>
  <c r="R53" i="8"/>
  <c r="Q53" i="8"/>
  <c r="R49" i="8"/>
  <c r="Q49" i="8"/>
  <c r="R45" i="8"/>
  <c r="Q45" i="8"/>
  <c r="R41" i="8"/>
  <c r="Q41" i="8"/>
  <c r="R37" i="8"/>
  <c r="Q37" i="8"/>
  <c r="R33" i="8"/>
  <c r="Q33" i="8"/>
  <c r="R29" i="8"/>
  <c r="Q29" i="8"/>
  <c r="R21" i="8"/>
  <c r="Q21" i="8"/>
  <c r="R13" i="8"/>
  <c r="Q13" i="8"/>
  <c r="Y93" i="8"/>
  <c r="X93" i="8"/>
  <c r="Y89" i="8"/>
  <c r="X89" i="8"/>
  <c r="Y85" i="8"/>
  <c r="X85" i="8"/>
  <c r="Y81" i="8"/>
  <c r="X81" i="8"/>
  <c r="Y77" i="8"/>
  <c r="X77" i="8"/>
  <c r="Y73" i="8"/>
  <c r="X73" i="8"/>
  <c r="Y69" i="8"/>
  <c r="X69" i="8"/>
  <c r="Y65" i="8"/>
  <c r="X65" i="8"/>
  <c r="Y61" i="8"/>
  <c r="X61" i="8"/>
  <c r="Y57" i="8"/>
  <c r="X57" i="8"/>
  <c r="Y53" i="8"/>
  <c r="X53" i="8"/>
  <c r="Y49" i="8"/>
  <c r="X49" i="8"/>
  <c r="Y45" i="8"/>
  <c r="X45" i="8"/>
  <c r="Y41" i="8"/>
  <c r="X41" i="8"/>
  <c r="Y37" i="8"/>
  <c r="X37" i="8"/>
  <c r="Y33" i="8"/>
  <c r="X33" i="8"/>
  <c r="Y29" i="8"/>
  <c r="X29" i="8"/>
  <c r="Y25" i="8"/>
  <c r="X25" i="8"/>
  <c r="Y21" i="8"/>
  <c r="X21" i="8"/>
  <c r="Y17" i="8"/>
  <c r="X17" i="8"/>
  <c r="Y13" i="8"/>
  <c r="X13" i="8"/>
  <c r="Y9" i="8"/>
  <c r="X9" i="8"/>
  <c r="Y5" i="8"/>
  <c r="X5" i="8"/>
  <c r="J49" i="8"/>
  <c r="J43" i="8"/>
  <c r="K96" i="8"/>
  <c r="J92" i="8"/>
  <c r="K84" i="8"/>
  <c r="J84" i="8"/>
  <c r="K80" i="8"/>
  <c r="J80" i="8"/>
  <c r="J64" i="8"/>
  <c r="K60" i="8"/>
  <c r="K52" i="8"/>
  <c r="K48" i="8"/>
  <c r="J44" i="8"/>
  <c r="J36" i="8"/>
  <c r="K4" i="8"/>
  <c r="J4" i="8"/>
  <c r="R92" i="8"/>
  <c r="Q68" i="8"/>
  <c r="R60" i="8"/>
  <c r="Q60" i="8"/>
  <c r="R40" i="8"/>
  <c r="Q40" i="8"/>
  <c r="R32" i="8"/>
  <c r="Q32" i="8"/>
  <c r="Q12" i="8"/>
  <c r="R4" i="8"/>
  <c r="Q4" i="8"/>
  <c r="Y96" i="8"/>
  <c r="Y76" i="8"/>
  <c r="Y68" i="8"/>
  <c r="Y60" i="8"/>
  <c r="Y40" i="8"/>
  <c r="Y32" i="8"/>
  <c r="Y12" i="8"/>
  <c r="Y4" i="8"/>
  <c r="J95" i="8"/>
  <c r="J90" i="8"/>
  <c r="J74" i="8"/>
  <c r="J31" i="8"/>
  <c r="J15" i="8"/>
  <c r="K26" i="8"/>
  <c r="Q90" i="8"/>
  <c r="Q58" i="8"/>
  <c r="R84" i="8"/>
  <c r="R70" i="8"/>
  <c r="M16" i="1"/>
  <c r="X6" i="2" s="1"/>
  <c r="A197" i="7" s="1"/>
  <c r="B197" i="7" s="1"/>
  <c r="M17" i="1"/>
  <c r="X8" i="2" s="1"/>
  <c r="C152" i="4" s="1"/>
  <c r="M18" i="1"/>
  <c r="X10" i="2" s="1"/>
  <c r="M19" i="1"/>
  <c r="X12" i="2" s="1"/>
  <c r="C248" i="4" s="1"/>
  <c r="M20" i="1"/>
  <c r="X14" i="2" s="1"/>
  <c r="M21" i="1"/>
  <c r="X16" i="2" s="1"/>
  <c r="C344" i="4" s="1"/>
  <c r="M22" i="1"/>
  <c r="X18" i="2" s="1"/>
  <c r="M15" i="1"/>
  <c r="X4" i="2" s="1"/>
  <c r="C56" i="4" s="1"/>
  <c r="L16" i="1"/>
  <c r="V6" i="2" s="1"/>
  <c r="A181" i="7" s="1"/>
  <c r="C181" i="7" s="1"/>
  <c r="L84" i="8" s="1"/>
  <c r="L17" i="1"/>
  <c r="V8" i="2" s="1"/>
  <c r="C150" i="4" s="1"/>
  <c r="L18" i="1"/>
  <c r="V10" i="2" s="1"/>
  <c r="A185" i="7" s="1"/>
  <c r="B185" i="7" s="1"/>
  <c r="L19" i="1"/>
  <c r="V12" i="2" s="1"/>
  <c r="A187" i="7" s="1"/>
  <c r="B187" i="7" s="1"/>
  <c r="L20" i="1"/>
  <c r="V14" i="2" s="1"/>
  <c r="L21" i="1"/>
  <c r="V16" i="2" s="1"/>
  <c r="A191" i="7" s="1"/>
  <c r="L22" i="1"/>
  <c r="V18" i="2"/>
  <c r="L15" i="1"/>
  <c r="V4" i="2" s="1"/>
  <c r="A179" i="7" s="1"/>
  <c r="C179" i="7" s="1"/>
  <c r="L83" i="8" s="1"/>
  <c r="K16" i="1"/>
  <c r="T6" i="2"/>
  <c r="C100" i="4" s="1"/>
  <c r="K17" i="1"/>
  <c r="T8" i="2" s="1"/>
  <c r="A167" i="7" s="1"/>
  <c r="C167" i="7" s="1"/>
  <c r="K18" i="1"/>
  <c r="T10" i="2" s="1"/>
  <c r="K19" i="1"/>
  <c r="T12" i="2" s="1"/>
  <c r="A171" i="7" s="1"/>
  <c r="B171" i="7" s="1"/>
  <c r="K20" i="1"/>
  <c r="T14" i="2" s="1"/>
  <c r="C292" i="4" s="1"/>
  <c r="K21" i="1"/>
  <c r="T16" i="2" s="1"/>
  <c r="A175" i="7" s="1"/>
  <c r="K22" i="1"/>
  <c r="T18" i="2"/>
  <c r="K15" i="1"/>
  <c r="T4" i="2" s="1"/>
  <c r="A163" i="7" s="1"/>
  <c r="J16" i="1"/>
  <c r="R6" i="2"/>
  <c r="C98" i="4" s="1"/>
  <c r="J17" i="1"/>
  <c r="R8" i="2" s="1"/>
  <c r="J18" i="1"/>
  <c r="R10" i="2" s="1"/>
  <c r="J19" i="1"/>
  <c r="R12" i="2" s="1"/>
  <c r="J20" i="1"/>
  <c r="R14" i="2" s="1"/>
  <c r="J21" i="1"/>
  <c r="R16" i="2" s="1"/>
  <c r="A159" i="7" s="1"/>
  <c r="C159" i="7" s="1"/>
  <c r="J22" i="1"/>
  <c r="R18" i="2" s="1"/>
  <c r="J15" i="1"/>
  <c r="R4" i="2" s="1"/>
  <c r="A147" i="7" s="1"/>
  <c r="I16" i="1"/>
  <c r="P6" i="2" s="1"/>
  <c r="I17" i="1"/>
  <c r="P8" i="2" s="1"/>
  <c r="I18" i="1"/>
  <c r="P10" i="2" s="1"/>
  <c r="I19" i="1"/>
  <c r="P12" i="2" s="1"/>
  <c r="C240" i="4" s="1"/>
  <c r="I20" i="1"/>
  <c r="P14" i="2" s="1"/>
  <c r="I21" i="1"/>
  <c r="P16" i="2" s="1"/>
  <c r="I22" i="1"/>
  <c r="P18" i="2" s="1"/>
  <c r="I15" i="1"/>
  <c r="P4" i="2" s="1"/>
  <c r="A131" i="7" s="1"/>
  <c r="C131" i="7" s="1"/>
  <c r="L59" i="8" s="1"/>
  <c r="H16" i="1"/>
  <c r="N6" i="2" s="1"/>
  <c r="C94" i="4" s="1"/>
  <c r="H17" i="1"/>
  <c r="N8" i="2" s="1"/>
  <c r="H18" i="1"/>
  <c r="N10" i="2" s="1"/>
  <c r="H19" i="1"/>
  <c r="N12" i="2" s="1"/>
  <c r="A123" i="7" s="1"/>
  <c r="C123" i="7" s="1"/>
  <c r="D123" i="7" s="1"/>
  <c r="H20" i="1"/>
  <c r="N14" i="2" s="1"/>
  <c r="H21" i="1"/>
  <c r="N16" i="2" s="1"/>
  <c r="C334" i="4" s="1"/>
  <c r="H22" i="1"/>
  <c r="N18" i="2"/>
  <c r="H15" i="1"/>
  <c r="N4" i="2" s="1"/>
  <c r="A115" i="7" s="1"/>
  <c r="C115" i="7" s="1"/>
  <c r="G16" i="1"/>
  <c r="L6" i="2"/>
  <c r="G17" i="1"/>
  <c r="L8" i="2" s="1"/>
  <c r="C140" i="4" s="1"/>
  <c r="G18" i="1"/>
  <c r="L10" i="2" s="1"/>
  <c r="C188" i="4" s="1"/>
  <c r="G19" i="1"/>
  <c r="L12" i="2" s="1"/>
  <c r="A107" i="7" s="1"/>
  <c r="B107" i="7" s="1"/>
  <c r="G20" i="1"/>
  <c r="L14" i="2" s="1"/>
  <c r="G21" i="1"/>
  <c r="L16" i="2" s="1"/>
  <c r="G22" i="1"/>
  <c r="L18" i="2"/>
  <c r="G15" i="1"/>
  <c r="L4" i="2" s="1"/>
  <c r="F16" i="1"/>
  <c r="J6" i="2"/>
  <c r="F17" i="1"/>
  <c r="J8" i="2" s="1"/>
  <c r="C138" i="4" s="1"/>
  <c r="F18" i="1"/>
  <c r="J10" i="2" s="1"/>
  <c r="F19" i="1"/>
  <c r="J12" i="2" s="1"/>
  <c r="F20" i="1"/>
  <c r="J14" i="2" s="1"/>
  <c r="F21" i="1"/>
  <c r="J16" i="2" s="1"/>
  <c r="A95" i="7" s="1"/>
  <c r="C95" i="7" s="1"/>
  <c r="F22" i="1"/>
  <c r="J18" i="2" s="1"/>
  <c r="C378" i="4" s="1"/>
  <c r="F15" i="1"/>
  <c r="J4" i="2" s="1"/>
  <c r="E16" i="1"/>
  <c r="H6" i="2" s="1"/>
  <c r="E17" i="1"/>
  <c r="H8" i="2" s="1"/>
  <c r="E18" i="1"/>
  <c r="H10" i="2" s="1"/>
  <c r="C184" i="4" s="1"/>
  <c r="E19" i="1"/>
  <c r="H12" i="2" s="1"/>
  <c r="C232" i="4" s="1"/>
  <c r="E20" i="1"/>
  <c r="H14" i="2" s="1"/>
  <c r="E21" i="1"/>
  <c r="H16" i="2" s="1"/>
  <c r="A79" i="7" s="1"/>
  <c r="C79" i="7" s="1"/>
  <c r="E22" i="1"/>
  <c r="H18" i="2" s="1"/>
  <c r="E15" i="1"/>
  <c r="H4" i="2" s="1"/>
  <c r="D16" i="1"/>
  <c r="F6" i="2" s="1"/>
  <c r="D17" i="1"/>
  <c r="F8" i="2" s="1"/>
  <c r="C134" i="4" s="1"/>
  <c r="D18" i="1"/>
  <c r="F10" i="2" s="1"/>
  <c r="D19" i="1"/>
  <c r="F12" i="2" s="1"/>
  <c r="C230" i="4" s="1"/>
  <c r="D20" i="1"/>
  <c r="F14" i="2" s="1"/>
  <c r="D21" i="1"/>
  <c r="F16" i="2" s="1"/>
  <c r="A63" i="7" s="1"/>
  <c r="B63" i="7" s="1"/>
  <c r="D22" i="1"/>
  <c r="F18" i="2"/>
  <c r="D15" i="1"/>
  <c r="F4" i="2" s="1"/>
  <c r="C38" i="4" s="1"/>
  <c r="C16" i="1"/>
  <c r="D6" i="2" s="1"/>
  <c r="C17" i="1"/>
  <c r="D8" i="2" s="1"/>
  <c r="C18" i="1"/>
  <c r="D10" i="2" s="1"/>
  <c r="C19" i="1"/>
  <c r="D12" i="2" s="1"/>
  <c r="C20" i="1"/>
  <c r="D14" i="2" s="1"/>
  <c r="C276" i="4" s="1"/>
  <c r="C21" i="1"/>
  <c r="D16" i="2" s="1"/>
  <c r="A47" i="7" s="1"/>
  <c r="C22" i="1"/>
  <c r="D18" i="2"/>
  <c r="C15" i="1"/>
  <c r="D4" i="2" s="1"/>
  <c r="A35" i="7" s="1"/>
  <c r="B16" i="1"/>
  <c r="B6" i="2"/>
  <c r="C82" i="4" s="1"/>
  <c r="B17" i="1"/>
  <c r="B8" i="2" s="1"/>
  <c r="C130" i="4" s="1"/>
  <c r="B18" i="1"/>
  <c r="B10" i="2" s="1"/>
  <c r="C178" i="4" s="1"/>
  <c r="B19" i="1"/>
  <c r="B12" i="2" s="1"/>
  <c r="B20" i="1"/>
  <c r="B14" i="2" s="1"/>
  <c r="C274" i="4" s="1"/>
  <c r="B21" i="1"/>
  <c r="B16" i="2" s="1"/>
  <c r="B22" i="1"/>
  <c r="B18" i="2" s="1"/>
  <c r="B15" i="1"/>
  <c r="B4" i="2" s="1"/>
  <c r="M5" i="1"/>
  <c r="X5" i="2" s="1"/>
  <c r="M6" i="1"/>
  <c r="X7" i="2" s="1"/>
  <c r="M7" i="1"/>
  <c r="X9" i="2" s="1"/>
  <c r="A200" i="7" s="1"/>
  <c r="B200" i="7" s="1"/>
  <c r="M8" i="1"/>
  <c r="X11" i="2" s="1"/>
  <c r="A202" i="7" s="1"/>
  <c r="M9" i="1"/>
  <c r="X13" i="2" s="1"/>
  <c r="M10" i="1"/>
  <c r="X15" i="2" s="1"/>
  <c r="C320" i="4" s="1"/>
  <c r="M11" i="1"/>
  <c r="X17" i="2" s="1"/>
  <c r="M4" i="1"/>
  <c r="X3" i="2" s="1"/>
  <c r="A194" i="7" s="1"/>
  <c r="C194" i="7" s="1"/>
  <c r="L5" i="1"/>
  <c r="V5" i="2" s="1"/>
  <c r="L6" i="1"/>
  <c r="V7" i="2" s="1"/>
  <c r="C126" i="4" s="1"/>
  <c r="L7" i="1"/>
  <c r="V9" i="2" s="1"/>
  <c r="L8" i="1"/>
  <c r="V11" i="2" s="1"/>
  <c r="A186" i="7" s="1"/>
  <c r="B186" i="7" s="1"/>
  <c r="L9" i="1"/>
  <c r="V13" i="2" s="1"/>
  <c r="A188" i="7" s="1"/>
  <c r="B188" i="7" s="1"/>
  <c r="L10" i="1"/>
  <c r="V15" i="2" s="1"/>
  <c r="C318" i="4" s="1"/>
  <c r="L11" i="1"/>
  <c r="V17" i="2" s="1"/>
  <c r="L4" i="1"/>
  <c r="V3" i="2" s="1"/>
  <c r="K5" i="1"/>
  <c r="T5" i="2" s="1"/>
  <c r="K6" i="1"/>
  <c r="T7" i="2" s="1"/>
  <c r="A166" i="7" s="1"/>
  <c r="B166" i="7" s="1"/>
  <c r="K7" i="1"/>
  <c r="T9" i="2" s="1"/>
  <c r="K8" i="1"/>
  <c r="T11" i="2" s="1"/>
  <c r="A170" i="7" s="1"/>
  <c r="C170" i="7" s="1"/>
  <c r="D170" i="7" s="1"/>
  <c r="K9" i="1"/>
  <c r="T13" i="2" s="1"/>
  <c r="C268" i="4" s="1"/>
  <c r="K10" i="1"/>
  <c r="T15" i="2" s="1"/>
  <c r="C316" i="4" s="1"/>
  <c r="K11" i="1"/>
  <c r="T17" i="2" s="1"/>
  <c r="A176" i="7" s="1"/>
  <c r="B176" i="7" s="1"/>
  <c r="K4" i="1"/>
  <c r="T3" i="2" s="1"/>
  <c r="J5" i="1"/>
  <c r="R5" i="2" s="1"/>
  <c r="C74" i="4" s="1"/>
  <c r="J6" i="1"/>
  <c r="R7" i="2" s="1"/>
  <c r="J7" i="1"/>
  <c r="R9" i="2" s="1"/>
  <c r="A152" i="7" s="1"/>
  <c r="C152" i="7" s="1"/>
  <c r="D152" i="7" s="1"/>
  <c r="J8" i="1"/>
  <c r="R11" i="2" s="1"/>
  <c r="C218" i="4" s="1"/>
  <c r="J9" i="1"/>
  <c r="R13" i="2" s="1"/>
  <c r="A156" i="7" s="1"/>
  <c r="J10" i="1"/>
  <c r="R15" i="2" s="1"/>
  <c r="J11" i="1"/>
  <c r="R17" i="2" s="1"/>
  <c r="C362" i="4" s="1"/>
  <c r="J4" i="1"/>
  <c r="R3" i="2" s="1"/>
  <c r="I5" i="1"/>
  <c r="P5" i="2" s="1"/>
  <c r="I6" i="1"/>
  <c r="P7" i="2" s="1"/>
  <c r="I7" i="1"/>
  <c r="P9" i="2" s="1"/>
  <c r="A136" i="7" s="1"/>
  <c r="B136" i="7" s="1"/>
  <c r="I8" i="1"/>
  <c r="P11" i="2" s="1"/>
  <c r="I9" i="1"/>
  <c r="P13" i="2" s="1"/>
  <c r="C264" i="4" s="1"/>
  <c r="I10" i="1"/>
  <c r="P15" i="2" s="1"/>
  <c r="I11" i="1"/>
  <c r="P17" i="2" s="1"/>
  <c r="A144" i="7" s="1"/>
  <c r="I4" i="1"/>
  <c r="P3" i="2" s="1"/>
  <c r="H5" i="1"/>
  <c r="N5" i="2" s="1"/>
  <c r="C70" i="4" s="1"/>
  <c r="H6" i="1"/>
  <c r="N7" i="2" s="1"/>
  <c r="H7" i="1"/>
  <c r="N9" i="2" s="1"/>
  <c r="A120" i="7" s="1"/>
  <c r="H8" i="1"/>
  <c r="N11" i="2" s="1"/>
  <c r="H9" i="1"/>
  <c r="N13" i="2" s="1"/>
  <c r="A124" i="7" s="1"/>
  <c r="C124" i="7" s="1"/>
  <c r="H10" i="1"/>
  <c r="N15" i="2" s="1"/>
  <c r="A126" i="7" s="1"/>
  <c r="B126" i="7" s="1"/>
  <c r="H11" i="1"/>
  <c r="N17" i="2" s="1"/>
  <c r="A128" i="7" s="1"/>
  <c r="H4" i="1"/>
  <c r="N3" i="2" s="1"/>
  <c r="A114" i="7" s="1"/>
  <c r="C114" i="7" s="1"/>
  <c r="G5" i="1"/>
  <c r="L5" i="2" s="1"/>
  <c r="C68" i="4" s="1"/>
  <c r="G6" i="1"/>
  <c r="L7" i="2" s="1"/>
  <c r="C116" i="4" s="1"/>
  <c r="G7" i="1"/>
  <c r="L9" i="2" s="1"/>
  <c r="A104" i="7" s="1"/>
  <c r="G8" i="1"/>
  <c r="L11" i="2" s="1"/>
  <c r="C212" i="4" s="1"/>
  <c r="G9" i="1"/>
  <c r="L13" i="2" s="1"/>
  <c r="G10" i="1"/>
  <c r="L15" i="2" s="1"/>
  <c r="C308" i="4" s="1"/>
  <c r="G11" i="1"/>
  <c r="L17" i="2" s="1"/>
  <c r="G4" i="1"/>
  <c r="L3" i="2" s="1"/>
  <c r="H11" i="2"/>
  <c r="D3" i="2"/>
  <c r="B11" i="2"/>
  <c r="A26" i="7" s="1"/>
  <c r="C26" i="7" s="1"/>
  <c r="G78" i="9"/>
  <c r="G79" i="9"/>
  <c r="G80" i="9"/>
  <c r="G81" i="9"/>
  <c r="G82" i="9"/>
  <c r="G83" i="9"/>
  <c r="G84" i="9"/>
  <c r="G85" i="9"/>
  <c r="G86" i="9"/>
  <c r="G87" i="9"/>
  <c r="G88" i="9"/>
  <c r="G89" i="9"/>
  <c r="G90" i="9"/>
  <c r="G91" i="9"/>
  <c r="G92" i="9"/>
  <c r="G93" i="9"/>
  <c r="G94" i="9"/>
  <c r="G95" i="9"/>
  <c r="G96" i="9"/>
  <c r="G97" i="9"/>
  <c r="G98" i="9"/>
  <c r="G99" i="9"/>
  <c r="G100" i="9"/>
  <c r="G101" i="9"/>
  <c r="G102" i="9"/>
  <c r="G103" i="9"/>
  <c r="G104" i="9"/>
  <c r="G105" i="9"/>
  <c r="G106" i="9"/>
  <c r="G107" i="9"/>
  <c r="G108" i="9"/>
  <c r="G109" i="9"/>
  <c r="G110" i="9"/>
  <c r="G111" i="9"/>
  <c r="G112" i="9"/>
  <c r="G113" i="9"/>
  <c r="G114" i="9"/>
  <c r="G115" i="9"/>
  <c r="G116" i="9"/>
  <c r="G117" i="9"/>
  <c r="G118" i="9"/>
  <c r="G119" i="9"/>
  <c r="G120" i="9"/>
  <c r="G121" i="9"/>
  <c r="G122" i="9"/>
  <c r="G123" i="9"/>
  <c r="G124" i="9"/>
  <c r="G125" i="9"/>
  <c r="G126" i="9"/>
  <c r="G127" i="9"/>
  <c r="G128" i="9"/>
  <c r="G129" i="9"/>
  <c r="G130" i="9"/>
  <c r="G131" i="9"/>
  <c r="G132" i="9"/>
  <c r="G133" i="9"/>
  <c r="G134" i="9"/>
  <c r="G135" i="9"/>
  <c r="G136" i="9"/>
  <c r="G137" i="9"/>
  <c r="G138" i="9"/>
  <c r="G139" i="9"/>
  <c r="G140" i="9"/>
  <c r="G141" i="9"/>
  <c r="G142" i="9"/>
  <c r="G143" i="9"/>
  <c r="G144" i="9"/>
  <c r="G145" i="9"/>
  <c r="G146" i="9"/>
  <c r="G147" i="9"/>
  <c r="G148" i="9"/>
  <c r="G149" i="9"/>
  <c r="G150" i="9"/>
  <c r="G151" i="9"/>
  <c r="G152" i="9"/>
  <c r="G153" i="9"/>
  <c r="G154" i="9"/>
  <c r="G155" i="9"/>
  <c r="G156" i="9"/>
  <c r="G157" i="9"/>
  <c r="G158" i="9"/>
  <c r="G159" i="9"/>
  <c r="G160" i="9"/>
  <c r="G161" i="9"/>
  <c r="G162" i="9"/>
  <c r="G163" i="9"/>
  <c r="G164" i="9"/>
  <c r="G165" i="9"/>
  <c r="G166" i="9"/>
  <c r="G167" i="9"/>
  <c r="G168" i="9"/>
  <c r="G169" i="9"/>
  <c r="G170" i="9"/>
  <c r="G171" i="9"/>
  <c r="G172" i="9"/>
  <c r="G173" i="9"/>
  <c r="G174" i="9"/>
  <c r="G175" i="9"/>
  <c r="G176" i="9"/>
  <c r="G177" i="9"/>
  <c r="G178" i="9"/>
  <c r="G179" i="9"/>
  <c r="G180" i="9"/>
  <c r="G181" i="9"/>
  <c r="G182" i="9"/>
  <c r="G183" i="9"/>
  <c r="G184" i="9"/>
  <c r="G185" i="9"/>
  <c r="G186" i="9"/>
  <c r="G187" i="9"/>
  <c r="G188" i="9"/>
  <c r="G189" i="9"/>
  <c r="G190" i="9"/>
  <c r="G191" i="9"/>
  <c r="G192" i="9"/>
  <c r="G193" i="9"/>
  <c r="G194" i="9"/>
  <c r="G195" i="9"/>
  <c r="G196" i="9"/>
  <c r="G197" i="9"/>
  <c r="G198" i="9"/>
  <c r="G199" i="9"/>
  <c r="G200" i="9"/>
  <c r="G201" i="9"/>
  <c r="G202" i="9"/>
  <c r="G203" i="9"/>
  <c r="G204" i="9"/>
  <c r="G205" i="9"/>
  <c r="G206" i="9"/>
  <c r="G207" i="9"/>
  <c r="G208" i="9"/>
  <c r="G209" i="9"/>
  <c r="G210" i="9"/>
  <c r="G211" i="9"/>
  <c r="G212" i="9"/>
  <c r="G213" i="9"/>
  <c r="G214" i="9"/>
  <c r="G215" i="9"/>
  <c r="G216" i="9"/>
  <c r="G217" i="9"/>
  <c r="G218" i="9"/>
  <c r="G219" i="9"/>
  <c r="G220" i="9"/>
  <c r="G221" i="9"/>
  <c r="G222" i="9"/>
  <c r="G223" i="9"/>
  <c r="G224" i="9"/>
  <c r="G225" i="9"/>
  <c r="G226" i="9"/>
  <c r="G227" i="9"/>
  <c r="G228" i="9"/>
  <c r="G229" i="9"/>
  <c r="G230" i="9"/>
  <c r="G231" i="9"/>
  <c r="G232" i="9"/>
  <c r="G233" i="9"/>
  <c r="G234" i="9"/>
  <c r="G235" i="9"/>
  <c r="G236" i="9"/>
  <c r="G237" i="9"/>
  <c r="G238" i="9"/>
  <c r="G239" i="9"/>
  <c r="G240" i="9"/>
  <c r="G241" i="9"/>
  <c r="G242" i="9"/>
  <c r="G243" i="9"/>
  <c r="G244" i="9"/>
  <c r="G245" i="9"/>
  <c r="G246" i="9"/>
  <c r="G247" i="9"/>
  <c r="G248" i="9"/>
  <c r="G249" i="9"/>
  <c r="G250" i="9"/>
  <c r="G251" i="9"/>
  <c r="G252" i="9"/>
  <c r="G253" i="9"/>
  <c r="G254" i="9"/>
  <c r="G255" i="9"/>
  <c r="G256" i="9"/>
  <c r="G257" i="9"/>
  <c r="G258" i="9"/>
  <c r="G259" i="9"/>
  <c r="G260" i="9"/>
  <c r="G261" i="9"/>
  <c r="G262" i="9"/>
  <c r="G263" i="9"/>
  <c r="G264" i="9"/>
  <c r="G265" i="9"/>
  <c r="G266" i="9"/>
  <c r="G267" i="9"/>
  <c r="G268" i="9"/>
  <c r="G269" i="9"/>
  <c r="G270" i="9"/>
  <c r="G271" i="9"/>
  <c r="G272" i="9"/>
  <c r="G273" i="9"/>
  <c r="G274" i="9"/>
  <c r="G275" i="9"/>
  <c r="G276" i="9"/>
  <c r="G277" i="9"/>
  <c r="G278" i="9"/>
  <c r="G279" i="9"/>
  <c r="G280" i="9"/>
  <c r="G281" i="9"/>
  <c r="G282" i="9"/>
  <c r="B42" i="4"/>
  <c r="B66" i="4"/>
  <c r="B90" i="4" s="1"/>
  <c r="B114" i="4" s="1"/>
  <c r="B138" i="4" s="1"/>
  <c r="B162" i="4" s="1"/>
  <c r="B186" i="4" s="1"/>
  <c r="B210" i="4" s="1"/>
  <c r="B234" i="4" s="1"/>
  <c r="B258" i="4" s="1"/>
  <c r="B282" i="4" s="1"/>
  <c r="B306" i="4" s="1"/>
  <c r="B330" i="4" s="1"/>
  <c r="B354" i="4" s="1"/>
  <c r="B378" i="4" s="1"/>
  <c r="B38" i="4"/>
  <c r="B62" i="4" s="1"/>
  <c r="B86" i="4" s="1"/>
  <c r="B110" i="4" s="1"/>
  <c r="B134" i="4" s="1"/>
  <c r="B158" i="4" s="1"/>
  <c r="B182" i="4" s="1"/>
  <c r="B206" i="4" s="1"/>
  <c r="B230" i="4" s="1"/>
  <c r="B254" i="4" s="1"/>
  <c r="B278" i="4" s="1"/>
  <c r="B302" i="4" s="1"/>
  <c r="B326" i="4" s="1"/>
  <c r="B350" i="4" s="1"/>
  <c r="B374" i="4" s="1"/>
  <c r="B37" i="4"/>
  <c r="B61" i="4" s="1"/>
  <c r="B85" i="4" s="1"/>
  <c r="B109" i="4" s="1"/>
  <c r="B133" i="4" s="1"/>
  <c r="B157" i="4" s="1"/>
  <c r="B181" i="4" s="1"/>
  <c r="B205" i="4" s="1"/>
  <c r="B229" i="4" s="1"/>
  <c r="B253" i="4" s="1"/>
  <c r="B277" i="4" s="1"/>
  <c r="B301" i="4" s="1"/>
  <c r="B325" i="4" s="1"/>
  <c r="B349" i="4" s="1"/>
  <c r="B373" i="4" s="1"/>
  <c r="B57" i="4"/>
  <c r="B81" i="4" s="1"/>
  <c r="B105" i="4" s="1"/>
  <c r="B129" i="4" s="1"/>
  <c r="B153" i="4" s="1"/>
  <c r="B177" i="4" s="1"/>
  <c r="B201" i="4" s="1"/>
  <c r="B225" i="4" s="1"/>
  <c r="B249" i="4" s="1"/>
  <c r="B273" i="4" s="1"/>
  <c r="B297" i="4" s="1"/>
  <c r="B321" i="4" s="1"/>
  <c r="B345" i="4" s="1"/>
  <c r="B369" i="4" s="1"/>
  <c r="B393" i="4" s="1"/>
  <c r="B56" i="4"/>
  <c r="B80" i="4" s="1"/>
  <c r="B104" i="4" s="1"/>
  <c r="B128" i="4" s="1"/>
  <c r="B152" i="4" s="1"/>
  <c r="B176" i="4" s="1"/>
  <c r="B200" i="4" s="1"/>
  <c r="B224" i="4" s="1"/>
  <c r="B248" i="4" s="1"/>
  <c r="B272" i="4" s="1"/>
  <c r="B296" i="4" s="1"/>
  <c r="B320" i="4" s="1"/>
  <c r="B344" i="4" s="1"/>
  <c r="B368" i="4" s="1"/>
  <c r="B392" i="4" s="1"/>
  <c r="B55" i="4"/>
  <c r="B79" i="4" s="1"/>
  <c r="B103" i="4" s="1"/>
  <c r="B127" i="4" s="1"/>
  <c r="B151" i="4" s="1"/>
  <c r="B175" i="4" s="1"/>
  <c r="B199" i="4" s="1"/>
  <c r="B223" i="4" s="1"/>
  <c r="B247" i="4" s="1"/>
  <c r="B271" i="4" s="1"/>
  <c r="B295" i="4" s="1"/>
  <c r="B319" i="4" s="1"/>
  <c r="B343" i="4" s="1"/>
  <c r="B367" i="4" s="1"/>
  <c r="B391" i="4" s="1"/>
  <c r="B54" i="4"/>
  <c r="B78" i="4"/>
  <c r="B102" i="4" s="1"/>
  <c r="B126" i="4" s="1"/>
  <c r="B150" i="4" s="1"/>
  <c r="B174" i="4" s="1"/>
  <c r="B198" i="4" s="1"/>
  <c r="B222" i="4" s="1"/>
  <c r="B246" i="4" s="1"/>
  <c r="B270" i="4" s="1"/>
  <c r="B294" i="4" s="1"/>
  <c r="B318" i="4" s="1"/>
  <c r="B342" i="4" s="1"/>
  <c r="B366" i="4" s="1"/>
  <c r="B390" i="4" s="1"/>
  <c r="B53" i="4"/>
  <c r="B77" i="4" s="1"/>
  <c r="B101" i="4" s="1"/>
  <c r="B125" i="4" s="1"/>
  <c r="B149" i="4" s="1"/>
  <c r="B173" i="4" s="1"/>
  <c r="B197" i="4" s="1"/>
  <c r="B221" i="4" s="1"/>
  <c r="B245" i="4" s="1"/>
  <c r="B269" i="4" s="1"/>
  <c r="B293" i="4" s="1"/>
  <c r="B317" i="4" s="1"/>
  <c r="B341" i="4" s="1"/>
  <c r="B365" i="4" s="1"/>
  <c r="B389" i="4" s="1"/>
  <c r="B52" i="4"/>
  <c r="B76" i="4"/>
  <c r="B100" i="4" s="1"/>
  <c r="B124" i="4" s="1"/>
  <c r="B148" i="4" s="1"/>
  <c r="B172" i="4" s="1"/>
  <c r="B196" i="4" s="1"/>
  <c r="B220" i="4" s="1"/>
  <c r="B244" i="4" s="1"/>
  <c r="B268" i="4" s="1"/>
  <c r="B292" i="4" s="1"/>
  <c r="B316" i="4" s="1"/>
  <c r="B340" i="4" s="1"/>
  <c r="B364" i="4" s="1"/>
  <c r="B388" i="4" s="1"/>
  <c r="B51" i="4"/>
  <c r="B75" i="4" s="1"/>
  <c r="B99" i="4" s="1"/>
  <c r="B123" i="4" s="1"/>
  <c r="B147" i="4" s="1"/>
  <c r="B171" i="4" s="1"/>
  <c r="B195" i="4" s="1"/>
  <c r="B219" i="4" s="1"/>
  <c r="B243" i="4" s="1"/>
  <c r="B267" i="4" s="1"/>
  <c r="B291" i="4" s="1"/>
  <c r="B315" i="4" s="1"/>
  <c r="B339" i="4" s="1"/>
  <c r="B363" i="4" s="1"/>
  <c r="B387" i="4" s="1"/>
  <c r="B50" i="4"/>
  <c r="B74" i="4"/>
  <c r="B98" i="4" s="1"/>
  <c r="B122" i="4" s="1"/>
  <c r="B146" i="4" s="1"/>
  <c r="B170" i="4" s="1"/>
  <c r="B194" i="4" s="1"/>
  <c r="B218" i="4" s="1"/>
  <c r="B242" i="4" s="1"/>
  <c r="B266" i="4" s="1"/>
  <c r="B290" i="4" s="1"/>
  <c r="B314" i="4" s="1"/>
  <c r="B338" i="4" s="1"/>
  <c r="B362" i="4" s="1"/>
  <c r="B386" i="4" s="1"/>
  <c r="B49" i="4"/>
  <c r="B73" i="4" s="1"/>
  <c r="B97" i="4" s="1"/>
  <c r="B121" i="4" s="1"/>
  <c r="B145" i="4"/>
  <c r="B169" i="4" s="1"/>
  <c r="B193" i="4" s="1"/>
  <c r="B217" i="4" s="1"/>
  <c r="B241" i="4" s="1"/>
  <c r="B265" i="4" s="1"/>
  <c r="B289" i="4" s="1"/>
  <c r="B313" i="4" s="1"/>
  <c r="B337" i="4" s="1"/>
  <c r="B361" i="4" s="1"/>
  <c r="B385" i="4" s="1"/>
  <c r="B48" i="4"/>
  <c r="B72" i="4" s="1"/>
  <c r="B96" i="4" s="1"/>
  <c r="B120" i="4" s="1"/>
  <c r="B144" i="4" s="1"/>
  <c r="B168" i="4" s="1"/>
  <c r="B192" i="4" s="1"/>
  <c r="B216" i="4" s="1"/>
  <c r="B240" i="4" s="1"/>
  <c r="B264" i="4" s="1"/>
  <c r="B288" i="4" s="1"/>
  <c r="B312" i="4" s="1"/>
  <c r="B336" i="4" s="1"/>
  <c r="B360" i="4" s="1"/>
  <c r="B384" i="4" s="1"/>
  <c r="B47" i="4"/>
  <c r="B71" i="4" s="1"/>
  <c r="B95" i="4" s="1"/>
  <c r="B119" i="4" s="1"/>
  <c r="B143" i="4" s="1"/>
  <c r="B167" i="4" s="1"/>
  <c r="B191" i="4"/>
  <c r="B215" i="4" s="1"/>
  <c r="B239" i="4" s="1"/>
  <c r="B263" i="4" s="1"/>
  <c r="B287" i="4" s="1"/>
  <c r="B311" i="4" s="1"/>
  <c r="B335" i="4" s="1"/>
  <c r="B359" i="4" s="1"/>
  <c r="B383" i="4" s="1"/>
  <c r="B46" i="4"/>
  <c r="B70" i="4"/>
  <c r="B94" i="4" s="1"/>
  <c r="B118" i="4" s="1"/>
  <c r="B142" i="4" s="1"/>
  <c r="B166" i="4" s="1"/>
  <c r="B190" i="4" s="1"/>
  <c r="B214" i="4"/>
  <c r="B238" i="4" s="1"/>
  <c r="B262" i="4" s="1"/>
  <c r="B286" i="4" s="1"/>
  <c r="B310" i="4" s="1"/>
  <c r="B334" i="4" s="1"/>
  <c r="B358" i="4" s="1"/>
  <c r="B382" i="4" s="1"/>
  <c r="B45" i="4"/>
  <c r="B69" i="4" s="1"/>
  <c r="B93" i="4" s="1"/>
  <c r="B117" i="4" s="1"/>
  <c r="B141" i="4" s="1"/>
  <c r="B165" i="4" s="1"/>
  <c r="B189" i="4" s="1"/>
  <c r="B213" i="4" s="1"/>
  <c r="B237" i="4"/>
  <c r="B261" i="4" s="1"/>
  <c r="B285" i="4" s="1"/>
  <c r="B309" i="4" s="1"/>
  <c r="B333" i="4" s="1"/>
  <c r="B357" i="4" s="1"/>
  <c r="B381" i="4" s="1"/>
  <c r="B44" i="4"/>
  <c r="B68" i="4"/>
  <c r="B92" i="4" s="1"/>
  <c r="B116" i="4" s="1"/>
  <c r="B140" i="4" s="1"/>
  <c r="B164" i="4" s="1"/>
  <c r="B188" i="4" s="1"/>
  <c r="B212" i="4" s="1"/>
  <c r="B236" i="4" s="1"/>
  <c r="B260" i="4" s="1"/>
  <c r="B284" i="4" s="1"/>
  <c r="B308" i="4" s="1"/>
  <c r="B332" i="4" s="1"/>
  <c r="B356" i="4" s="1"/>
  <c r="B380" i="4" s="1"/>
  <c r="B43" i="4"/>
  <c r="B67" i="4" s="1"/>
  <c r="B91" i="4" s="1"/>
  <c r="B115" i="4" s="1"/>
  <c r="B139" i="4" s="1"/>
  <c r="B163" i="4" s="1"/>
  <c r="B187" i="4" s="1"/>
  <c r="B211" i="4" s="1"/>
  <c r="B235" i="4" s="1"/>
  <c r="B259" i="4" s="1"/>
  <c r="B283" i="4" s="1"/>
  <c r="B307" i="4" s="1"/>
  <c r="B331" i="4" s="1"/>
  <c r="B355" i="4" s="1"/>
  <c r="B379" i="4" s="1"/>
  <c r="B41" i="4"/>
  <c r="B65" i="4" s="1"/>
  <c r="B89" i="4" s="1"/>
  <c r="B113" i="4"/>
  <c r="B137" i="4" s="1"/>
  <c r="B161" i="4" s="1"/>
  <c r="B185" i="4" s="1"/>
  <c r="B209" i="4" s="1"/>
  <c r="B233" i="4" s="1"/>
  <c r="B257" i="4" s="1"/>
  <c r="B281" i="4" s="1"/>
  <c r="B305" i="4" s="1"/>
  <c r="B329" i="4" s="1"/>
  <c r="B353" i="4" s="1"/>
  <c r="B377" i="4" s="1"/>
  <c r="B40" i="4"/>
  <c r="B64" i="4" s="1"/>
  <c r="B88" i="4" s="1"/>
  <c r="B112" i="4" s="1"/>
  <c r="B136" i="4" s="1"/>
  <c r="B160" i="4" s="1"/>
  <c r="B184" i="4" s="1"/>
  <c r="B208" i="4" s="1"/>
  <c r="B232" i="4" s="1"/>
  <c r="B256" i="4" s="1"/>
  <c r="B280" i="4" s="1"/>
  <c r="B304" i="4" s="1"/>
  <c r="B328" i="4" s="1"/>
  <c r="B352" i="4" s="1"/>
  <c r="B376" i="4" s="1"/>
  <c r="B39" i="4"/>
  <c r="B63" i="4" s="1"/>
  <c r="B87" i="4" s="1"/>
  <c r="B111" i="4" s="1"/>
  <c r="B135" i="4" s="1"/>
  <c r="B159" i="4"/>
  <c r="B183" i="4" s="1"/>
  <c r="B207" i="4" s="1"/>
  <c r="B231" i="4" s="1"/>
  <c r="B255" i="4" s="1"/>
  <c r="B279" i="4" s="1"/>
  <c r="B303" i="4" s="1"/>
  <c r="B327" i="4" s="1"/>
  <c r="B351" i="4" s="1"/>
  <c r="B375" i="4" s="1"/>
  <c r="B36" i="4"/>
  <c r="B60" i="4" s="1"/>
  <c r="B84" i="4" s="1"/>
  <c r="B108" i="4" s="1"/>
  <c r="B132" i="4" s="1"/>
  <c r="B156" i="4" s="1"/>
  <c r="B180" i="4"/>
  <c r="B204" i="4" s="1"/>
  <c r="B228" i="4" s="1"/>
  <c r="B252" i="4" s="1"/>
  <c r="B276" i="4" s="1"/>
  <c r="B300" i="4" s="1"/>
  <c r="B324" i="4" s="1"/>
  <c r="B348" i="4" s="1"/>
  <c r="B372" i="4" s="1"/>
  <c r="B35" i="4"/>
  <c r="B59" i="4"/>
  <c r="B83" i="4" s="1"/>
  <c r="B107" i="4" s="1"/>
  <c r="B131" i="4" s="1"/>
  <c r="B155" i="4" s="1"/>
  <c r="B179" i="4" s="1"/>
  <c r="B203" i="4" s="1"/>
  <c r="B227" i="4" s="1"/>
  <c r="B251" i="4" s="1"/>
  <c r="B275" i="4" s="1"/>
  <c r="B299" i="4" s="1"/>
  <c r="B323" i="4" s="1"/>
  <c r="B347" i="4" s="1"/>
  <c r="B371" i="4" s="1"/>
  <c r="B34" i="4"/>
  <c r="B58" i="4" s="1"/>
  <c r="B82" i="4"/>
  <c r="B106" i="4" s="1"/>
  <c r="B130" i="4" s="1"/>
  <c r="B154" i="4" s="1"/>
  <c r="B178" i="4" s="1"/>
  <c r="B202" i="4" s="1"/>
  <c r="B226" i="4" s="1"/>
  <c r="B250" i="4" s="1"/>
  <c r="B274" i="4" s="1"/>
  <c r="B298" i="4" s="1"/>
  <c r="B322" i="4" s="1"/>
  <c r="B346" i="4" s="1"/>
  <c r="B370" i="4" s="1"/>
  <c r="A34" i="4"/>
  <c r="A58" i="4"/>
  <c r="A82" i="4" s="1"/>
  <c r="A106" i="4" s="1"/>
  <c r="A130" i="4" s="1"/>
  <c r="A154" i="4" s="1"/>
  <c r="A178" i="4" s="1"/>
  <c r="A202" i="4" s="1"/>
  <c r="A226" i="4" s="1"/>
  <c r="A250" i="4" s="1"/>
  <c r="A274" i="4" s="1"/>
  <c r="A298" i="4" s="1"/>
  <c r="A322" i="4" s="1"/>
  <c r="A346" i="4" s="1"/>
  <c r="A370" i="4" s="1"/>
  <c r="A11" i="4"/>
  <c r="A35" i="4" s="1"/>
  <c r="S96" i="8"/>
  <c r="A12" i="4"/>
  <c r="A36" i="4" s="1"/>
  <c r="A59" i="4"/>
  <c r="A83" i="4" s="1"/>
  <c r="A107" i="4" s="1"/>
  <c r="A131" i="4" s="1"/>
  <c r="A155" i="4" s="1"/>
  <c r="A179" i="4" s="1"/>
  <c r="A203" i="4" s="1"/>
  <c r="A227" i="4" s="1"/>
  <c r="A251" i="4" s="1"/>
  <c r="A275" i="4" s="1"/>
  <c r="A299" i="4" s="1"/>
  <c r="A323" i="4" s="1"/>
  <c r="A347" i="4" s="1"/>
  <c r="A371" i="4" s="1"/>
  <c r="S49" i="8"/>
  <c r="A60" i="4"/>
  <c r="A84" i="4" s="1"/>
  <c r="A108" i="4" s="1"/>
  <c r="A132" i="4" s="1"/>
  <c r="A156" i="4" s="1"/>
  <c r="A180" i="4" s="1"/>
  <c r="A204" i="4" s="1"/>
  <c r="A228" i="4" s="1"/>
  <c r="A252" i="4" s="1"/>
  <c r="A276" i="4" s="1"/>
  <c r="A300" i="4" s="1"/>
  <c r="A324" i="4" s="1"/>
  <c r="A348" i="4" s="1"/>
  <c r="A372" i="4" s="1"/>
  <c r="D7" i="7"/>
  <c r="E7" i="7" s="1"/>
  <c r="D5" i="7"/>
  <c r="E5" i="7" s="1"/>
  <c r="D4" i="7"/>
  <c r="E4" i="7" s="1"/>
  <c r="D6" i="7"/>
  <c r="E6" i="7" s="1"/>
  <c r="G75" i="9"/>
  <c r="H75" i="9"/>
  <c r="I75" i="9"/>
  <c r="G69" i="9"/>
  <c r="H69" i="9"/>
  <c r="I69" i="9"/>
  <c r="G16" i="9"/>
  <c r="H16" i="9"/>
  <c r="I16" i="9"/>
  <c r="G9" i="9"/>
  <c r="H9" i="9"/>
  <c r="I9" i="9"/>
  <c r="G24" i="9"/>
  <c r="H24" i="9"/>
  <c r="I24" i="9"/>
  <c r="G3" i="9"/>
  <c r="H3" i="9"/>
  <c r="I3" i="9"/>
  <c r="G61" i="9"/>
  <c r="H61" i="9"/>
  <c r="I61" i="9"/>
  <c r="G29" i="9"/>
  <c r="H29" i="9"/>
  <c r="I29" i="9"/>
  <c r="G30" i="9"/>
  <c r="H30" i="9"/>
  <c r="I30" i="9"/>
  <c r="G31" i="9"/>
  <c r="H31" i="9"/>
  <c r="I31" i="9"/>
  <c r="G46" i="9"/>
  <c r="H46" i="9"/>
  <c r="I46" i="9"/>
  <c r="G72" i="9"/>
  <c r="H72" i="9"/>
  <c r="I72" i="9"/>
  <c r="G13" i="9"/>
  <c r="H13" i="9"/>
  <c r="I13" i="9"/>
  <c r="G12" i="9"/>
  <c r="H12" i="9"/>
  <c r="I12" i="9"/>
  <c r="G23" i="9"/>
  <c r="H23" i="9"/>
  <c r="I23" i="9"/>
  <c r="G55" i="9"/>
  <c r="H55" i="9"/>
  <c r="I55" i="9"/>
  <c r="G53" i="9"/>
  <c r="H53" i="9"/>
  <c r="I53" i="9"/>
  <c r="G43" i="9"/>
  <c r="H43" i="9"/>
  <c r="I43" i="9"/>
  <c r="G20" i="9"/>
  <c r="H20" i="9"/>
  <c r="I20" i="9"/>
  <c r="G4" i="9"/>
  <c r="H4" i="9"/>
  <c r="I4" i="9"/>
  <c r="F1" i="9" s="1"/>
  <c r="G21" i="9"/>
  <c r="H21" i="9"/>
  <c r="I21" i="9"/>
  <c r="G25" i="9"/>
  <c r="H25" i="9"/>
  <c r="I25" i="9"/>
  <c r="G73" i="9"/>
  <c r="H73" i="9"/>
  <c r="I73" i="9"/>
  <c r="G15" i="9"/>
  <c r="H15" i="9"/>
  <c r="I15" i="9"/>
  <c r="G44" i="9"/>
  <c r="H44" i="9"/>
  <c r="I44" i="9"/>
  <c r="G32" i="9"/>
  <c r="H32" i="9"/>
  <c r="I32" i="9"/>
  <c r="G28" i="9"/>
  <c r="H28" i="9"/>
  <c r="I28" i="9"/>
  <c r="G39" i="9"/>
  <c r="H39" i="9"/>
  <c r="I39" i="9"/>
  <c r="G58" i="9"/>
  <c r="H58" i="9"/>
  <c r="I58" i="9"/>
  <c r="G10" i="9"/>
  <c r="H10" i="9"/>
  <c r="I10" i="9"/>
  <c r="G57" i="9"/>
  <c r="H57" i="9"/>
  <c r="I57" i="9"/>
  <c r="G7" i="9"/>
  <c r="H7" i="9"/>
  <c r="I7" i="9"/>
  <c r="G60" i="9"/>
  <c r="H60" i="9"/>
  <c r="I60" i="9"/>
  <c r="G67" i="9"/>
  <c r="H67" i="9"/>
  <c r="I67" i="9"/>
  <c r="G63" i="9"/>
  <c r="H63" i="9"/>
  <c r="I63" i="9"/>
  <c r="G5" i="9"/>
  <c r="H5" i="9"/>
  <c r="I5" i="9"/>
  <c r="G38" i="9"/>
  <c r="H38" i="9"/>
  <c r="I38" i="9"/>
  <c r="G66" i="9"/>
  <c r="H66" i="9"/>
  <c r="I66" i="9"/>
  <c r="G45" i="9"/>
  <c r="H45" i="9"/>
  <c r="I45" i="9"/>
  <c r="G8" i="9"/>
  <c r="H8" i="9"/>
  <c r="I8" i="9"/>
  <c r="G14" i="9"/>
  <c r="H14" i="9"/>
  <c r="I14" i="9"/>
  <c r="G70" i="9"/>
  <c r="H70" i="9"/>
  <c r="I70" i="9"/>
  <c r="G68" i="9"/>
  <c r="H68" i="9"/>
  <c r="I68" i="9"/>
  <c r="G11" i="9"/>
  <c r="H11" i="9"/>
  <c r="I11" i="9"/>
  <c r="G37" i="9"/>
  <c r="H37" i="9"/>
  <c r="I37" i="9"/>
  <c r="G56" i="9"/>
  <c r="H56" i="9"/>
  <c r="I56" i="9"/>
  <c r="G27" i="9"/>
  <c r="H27" i="9"/>
  <c r="I27" i="9"/>
  <c r="G26" i="9"/>
  <c r="H26" i="9"/>
  <c r="I26" i="9"/>
  <c r="G34" i="9"/>
  <c r="H34" i="9"/>
  <c r="I34" i="9"/>
  <c r="G49" i="9"/>
  <c r="H49" i="9"/>
  <c r="I49" i="9"/>
  <c r="G64" i="9"/>
  <c r="H64" i="9"/>
  <c r="I64" i="9"/>
  <c r="G6" i="9"/>
  <c r="H6" i="9"/>
  <c r="I6" i="9"/>
  <c r="G50" i="9"/>
  <c r="H50" i="9"/>
  <c r="I50" i="9"/>
  <c r="G65" i="9"/>
  <c r="H65" i="9"/>
  <c r="I65" i="9"/>
  <c r="G36" i="9"/>
  <c r="H36" i="9"/>
  <c r="I36" i="9"/>
  <c r="G59" i="9"/>
  <c r="H59" i="9"/>
  <c r="I59" i="9"/>
  <c r="G62" i="9"/>
  <c r="H62" i="9"/>
  <c r="I62" i="9"/>
  <c r="G35" i="9"/>
  <c r="H35" i="9"/>
  <c r="I35" i="9"/>
  <c r="G71" i="9"/>
  <c r="H71" i="9"/>
  <c r="I71" i="9"/>
  <c r="G48" i="9"/>
  <c r="H48" i="9"/>
  <c r="I48" i="9"/>
  <c r="G33" i="9"/>
  <c r="H33" i="9"/>
  <c r="I33" i="9"/>
  <c r="G54" i="9"/>
  <c r="H54" i="9"/>
  <c r="I54" i="9"/>
  <c r="G42" i="9"/>
  <c r="H42" i="9"/>
  <c r="I42" i="9"/>
  <c r="G41" i="9"/>
  <c r="H41" i="9"/>
  <c r="I41" i="9"/>
  <c r="G19" i="9"/>
  <c r="H19" i="9"/>
  <c r="I19" i="9"/>
  <c r="G76" i="9"/>
  <c r="H76" i="9"/>
  <c r="I76" i="9"/>
  <c r="G52" i="9"/>
  <c r="H52" i="9"/>
  <c r="I52" i="9"/>
  <c r="G17" i="9"/>
  <c r="H17" i="9"/>
  <c r="I17" i="9"/>
  <c r="G77" i="9"/>
  <c r="H77" i="9"/>
  <c r="I77" i="9"/>
  <c r="G47" i="9"/>
  <c r="H47" i="9"/>
  <c r="I47" i="9"/>
  <c r="G40" i="9"/>
  <c r="H40" i="9"/>
  <c r="I40" i="9"/>
  <c r="G74" i="9"/>
  <c r="H74" i="9"/>
  <c r="I74" i="9"/>
  <c r="G51" i="9"/>
  <c r="H51" i="9"/>
  <c r="I51" i="9"/>
  <c r="G18" i="9"/>
  <c r="H18" i="9"/>
  <c r="I18" i="9"/>
  <c r="G22" i="9"/>
  <c r="H22" i="9"/>
  <c r="I22" i="9"/>
  <c r="H1" i="9" l="1"/>
  <c r="A13" i="4"/>
  <c r="K94" i="8"/>
  <c r="J28" i="8"/>
  <c r="J56" i="8"/>
  <c r="J17" i="8"/>
  <c r="J13" i="8"/>
  <c r="J67" i="8"/>
  <c r="K75" i="8"/>
  <c r="J71" i="8"/>
  <c r="K85" i="8"/>
  <c r="K83" i="8"/>
  <c r="J53" i="8"/>
  <c r="L55" i="8"/>
  <c r="R36" i="8"/>
  <c r="R44" i="8"/>
  <c r="Q76" i="8"/>
  <c r="Q9" i="8"/>
  <c r="Q17" i="8"/>
  <c r="Q25" i="8"/>
  <c r="Q66" i="8"/>
  <c r="Q72" i="8"/>
  <c r="Q69" i="8"/>
  <c r="Q93" i="8"/>
  <c r="Q65" i="8"/>
  <c r="Q56" i="8"/>
  <c r="R52" i="8"/>
  <c r="Y8" i="8"/>
  <c r="X28" i="8"/>
  <c r="X44" i="8"/>
  <c r="Y64" i="8"/>
  <c r="X92" i="8"/>
  <c r="Y24" i="8"/>
  <c r="X48" i="8"/>
  <c r="Z64" i="8"/>
  <c r="X36" i="8"/>
  <c r="X72" i="8"/>
  <c r="X84" i="8"/>
  <c r="Y51" i="8"/>
  <c r="Y16" i="8"/>
  <c r="Y91" i="8"/>
  <c r="X91" i="8"/>
  <c r="X83" i="8"/>
  <c r="X55" i="8"/>
  <c r="X47" i="8"/>
  <c r="Y31" i="8"/>
  <c r="X31" i="8"/>
  <c r="X27" i="8"/>
  <c r="Y23" i="8"/>
  <c r="X19" i="8"/>
  <c r="X15" i="8"/>
  <c r="Y7" i="8"/>
  <c r="Y59" i="8"/>
  <c r="Y55" i="8"/>
  <c r="Y83" i="8"/>
  <c r="Z56" i="8"/>
  <c r="X95" i="8"/>
  <c r="Y95" i="8"/>
  <c r="X79" i="8"/>
  <c r="X75" i="8"/>
  <c r="Y71" i="8"/>
  <c r="Z63" i="8"/>
  <c r="X63" i="8"/>
  <c r="X39" i="8"/>
  <c r="X11" i="8"/>
  <c r="Y67" i="8"/>
  <c r="X35" i="8"/>
  <c r="Y15" i="8"/>
  <c r="Y43" i="8"/>
  <c r="X71" i="8"/>
  <c r="X87" i="8"/>
  <c r="Y35" i="8"/>
  <c r="Y63" i="8"/>
  <c r="X97" i="8"/>
  <c r="Y22" i="8"/>
  <c r="X50" i="8"/>
  <c r="X66" i="8"/>
  <c r="Y94" i="8"/>
  <c r="S95" i="8"/>
  <c r="Y46" i="8"/>
  <c r="D348" i="7"/>
  <c r="S72" i="8"/>
  <c r="S34" i="8"/>
  <c r="D372" i="7"/>
  <c r="S84" i="8"/>
  <c r="R96" i="8"/>
  <c r="Q89" i="8"/>
  <c r="R71" i="8"/>
  <c r="S68" i="8"/>
  <c r="R68" i="8"/>
  <c r="R58" i="8"/>
  <c r="Q55" i="8"/>
  <c r="R51" i="8"/>
  <c r="Q51" i="8"/>
  <c r="R47" i="8"/>
  <c r="R43" i="8"/>
  <c r="R39" i="8"/>
  <c r="Q35" i="8"/>
  <c r="R28" i="8"/>
  <c r="Q28" i="8"/>
  <c r="Q24" i="8"/>
  <c r="R24" i="8"/>
  <c r="Q8" i="8"/>
  <c r="R8" i="8"/>
  <c r="Q5" i="8"/>
  <c r="S57" i="8"/>
  <c r="Q34" i="8"/>
  <c r="Q54" i="8"/>
  <c r="R46" i="8"/>
  <c r="Q3" i="8"/>
  <c r="R78" i="8"/>
  <c r="R67" i="8"/>
  <c r="R38" i="8"/>
  <c r="Q42" i="8"/>
  <c r="L41" i="8"/>
  <c r="K97" i="8"/>
  <c r="J97" i="8"/>
  <c r="J76" i="8"/>
  <c r="K76" i="8"/>
  <c r="K42" i="8"/>
  <c r="K38" i="8"/>
  <c r="K9" i="8"/>
  <c r="J9" i="8"/>
  <c r="L77" i="8"/>
  <c r="K6" i="8"/>
  <c r="J96" i="8"/>
  <c r="K89" i="8"/>
  <c r="K79" i="8"/>
  <c r="J59" i="8"/>
  <c r="K59" i="8"/>
  <c r="K55" i="8"/>
  <c r="J47" i="8"/>
  <c r="K12" i="8"/>
  <c r="J12" i="8"/>
  <c r="K20" i="8"/>
  <c r="L51" i="8"/>
  <c r="K10" i="8"/>
  <c r="K77" i="8"/>
  <c r="K72" i="8"/>
  <c r="J72" i="8"/>
  <c r="J35" i="8"/>
  <c r="J38" i="8"/>
  <c r="K88" i="8"/>
  <c r="K70" i="8"/>
  <c r="J65" i="8"/>
  <c r="K58" i="8"/>
  <c r="J58" i="8"/>
  <c r="K33" i="8"/>
  <c r="L33" i="8"/>
  <c r="J24" i="8"/>
  <c r="K21" i="8"/>
  <c r="J21" i="8"/>
  <c r="K54" i="8"/>
  <c r="C95" i="8"/>
  <c r="B49" i="1"/>
  <c r="C98" i="8"/>
  <c r="B44" i="7"/>
  <c r="D94" i="8"/>
  <c r="C97" i="8"/>
  <c r="B51" i="1"/>
  <c r="C59" i="4"/>
  <c r="B372" i="7"/>
  <c r="A75" i="7"/>
  <c r="C75" i="7" s="1"/>
  <c r="B52" i="1"/>
  <c r="C328" i="4"/>
  <c r="K11" i="8"/>
  <c r="J11" i="8"/>
  <c r="K68" i="8"/>
  <c r="Q77" i="8"/>
  <c r="J61" i="8"/>
  <c r="K61" i="8"/>
  <c r="K57" i="8"/>
  <c r="J57" i="8"/>
  <c r="K37" i="8"/>
  <c r="J37" i="8"/>
  <c r="J34" i="8"/>
  <c r="J32" i="8"/>
  <c r="K30" i="8"/>
  <c r="J30" i="8"/>
  <c r="K25" i="8"/>
  <c r="K23" i="8"/>
  <c r="R74" i="8"/>
  <c r="Q74" i="8"/>
  <c r="R64" i="8"/>
  <c r="Q16" i="8"/>
  <c r="R16" i="8"/>
  <c r="Y90" i="8"/>
  <c r="X90" i="8"/>
  <c r="Y82" i="8"/>
  <c r="X82" i="8"/>
  <c r="X78" i="8"/>
  <c r="Y70" i="8"/>
  <c r="Y62" i="8"/>
  <c r="X62" i="8"/>
  <c r="Y54" i="8"/>
  <c r="X54" i="8"/>
  <c r="Y42" i="8"/>
  <c r="X42" i="8"/>
  <c r="Y38" i="8"/>
  <c r="Y34" i="8"/>
  <c r="X34" i="8"/>
  <c r="Y26" i="8"/>
  <c r="X26" i="8"/>
  <c r="Y18" i="8"/>
  <c r="X18" i="8"/>
  <c r="X14" i="8"/>
  <c r="Y14" i="8"/>
  <c r="Y10" i="8"/>
  <c r="Y6" i="8"/>
  <c r="X6" i="8"/>
  <c r="K63" i="8"/>
  <c r="J63" i="8"/>
  <c r="K40" i="8"/>
  <c r="J40" i="8"/>
  <c r="J23" i="8"/>
  <c r="J81" i="8"/>
  <c r="Q19" i="8"/>
  <c r="K86" i="8"/>
  <c r="J86" i="8"/>
  <c r="K50" i="8"/>
  <c r="J50" i="8"/>
  <c r="K39" i="8"/>
  <c r="J39" i="8"/>
  <c r="D96" i="8"/>
  <c r="C96" i="8"/>
  <c r="Q80" i="8"/>
  <c r="R80" i="8"/>
  <c r="Q22" i="8"/>
  <c r="R22" i="8"/>
  <c r="L73" i="8"/>
  <c r="K16" i="8"/>
  <c r="J98" i="8"/>
  <c r="J73" i="8"/>
  <c r="R23" i="8"/>
  <c r="J91" i="8"/>
  <c r="K91" i="8"/>
  <c r="K18" i="8"/>
  <c r="J18" i="8"/>
  <c r="K7" i="8"/>
  <c r="J7" i="8"/>
  <c r="R85" i="8"/>
  <c r="Q85" i="8"/>
  <c r="R79" i="8"/>
  <c r="Q79" i="8"/>
  <c r="Q59" i="8"/>
  <c r="R59" i="8"/>
  <c r="Q88" i="8"/>
  <c r="R88" i="8"/>
  <c r="R20" i="8"/>
  <c r="Q20" i="8"/>
  <c r="B50" i="1"/>
  <c r="A217" i="7"/>
  <c r="C217" i="7" s="1"/>
  <c r="D217" i="7" s="1"/>
  <c r="A383" i="7"/>
  <c r="C383" i="7" s="1"/>
  <c r="B48" i="7"/>
  <c r="C102" i="4"/>
  <c r="A96" i="7"/>
  <c r="B96" i="7" s="1"/>
  <c r="C250" i="4"/>
  <c r="B181" i="7"/>
  <c r="A304" i="7"/>
  <c r="C304" i="7" s="1"/>
  <c r="A384" i="7"/>
  <c r="B384" i="7" s="1"/>
  <c r="A90" i="7"/>
  <c r="B90" i="7" s="1"/>
  <c r="A289" i="7"/>
  <c r="B289" i="7" s="1"/>
  <c r="C353" i="4"/>
  <c r="C256" i="7"/>
  <c r="A300" i="7"/>
  <c r="B300" i="7" s="1"/>
  <c r="A241" i="7"/>
  <c r="B241" i="7" s="1"/>
  <c r="A100" i="7"/>
  <c r="C100" i="7" s="1"/>
  <c r="D100" i="7" s="1"/>
  <c r="C165" i="4"/>
  <c r="C159" i="4"/>
  <c r="A173" i="7"/>
  <c r="B173" i="7" s="1"/>
  <c r="B159" i="7"/>
  <c r="C216" i="7"/>
  <c r="C275" i="4"/>
  <c r="A276" i="7"/>
  <c r="B276" i="7" s="1"/>
  <c r="A285" i="7"/>
  <c r="B285" i="7" s="1"/>
  <c r="B394" i="7"/>
  <c r="E394" i="7" s="1"/>
  <c r="T95" i="8" s="1"/>
  <c r="B46" i="7"/>
  <c r="C32" i="7"/>
  <c r="C238" i="4"/>
  <c r="A59" i="7"/>
  <c r="B59" i="7" s="1"/>
  <c r="C300" i="4"/>
  <c r="C346" i="4"/>
  <c r="D46" i="7"/>
  <c r="B95" i="7"/>
  <c r="A110" i="7"/>
  <c r="C110" i="7" s="1"/>
  <c r="A64" i="7"/>
  <c r="C64" i="7" s="1"/>
  <c r="C63" i="7"/>
  <c r="C54" i="4"/>
  <c r="C23" i="4"/>
  <c r="B170" i="7"/>
  <c r="E170" i="7" s="1"/>
  <c r="C148" i="4"/>
  <c r="C298" i="4"/>
  <c r="C52" i="4"/>
  <c r="C166" i="7"/>
  <c r="A207" i="7"/>
  <c r="C207" i="7" s="1"/>
  <c r="D207" i="7" s="1"/>
  <c r="A174" i="7"/>
  <c r="B174" i="7" s="1"/>
  <c r="C244" i="4"/>
  <c r="A127" i="7"/>
  <c r="C127" i="7" s="1"/>
  <c r="L57" i="8" s="1"/>
  <c r="C170" i="4"/>
  <c r="C309" i="4"/>
  <c r="C124" i="4"/>
  <c r="D115" i="7"/>
  <c r="B194" i="7"/>
  <c r="C186" i="7"/>
  <c r="C338" i="4"/>
  <c r="A87" i="7"/>
  <c r="B87" i="7" s="1"/>
  <c r="C266" i="4"/>
  <c r="C166" i="4"/>
  <c r="C225" i="4"/>
  <c r="C236" i="4"/>
  <c r="A374" i="7"/>
  <c r="C374" i="7" s="1"/>
  <c r="C187" i="7"/>
  <c r="C358" i="4"/>
  <c r="C171" i="7"/>
  <c r="L79" i="8" s="1"/>
  <c r="B152" i="7"/>
  <c r="E152" i="7" s="1"/>
  <c r="B26" i="7"/>
  <c r="A203" i="7"/>
  <c r="C203" i="7" s="1"/>
  <c r="A195" i="7"/>
  <c r="C195" i="7" s="1"/>
  <c r="C306" i="7"/>
  <c r="A140" i="7"/>
  <c r="B140" i="7" s="1"/>
  <c r="C342" i="4"/>
  <c r="A116" i="7"/>
  <c r="C116" i="7" s="1"/>
  <c r="D116" i="7" s="1"/>
  <c r="A327" i="7"/>
  <c r="B327" i="7" s="1"/>
  <c r="C340" i="4"/>
  <c r="B179" i="7"/>
  <c r="B124" i="7"/>
  <c r="A353" i="7"/>
  <c r="C353" i="7" s="1"/>
  <c r="C267" i="4"/>
  <c r="C349" i="4"/>
  <c r="C30" i="7"/>
  <c r="A165" i="7"/>
  <c r="C360" i="4"/>
  <c r="C262" i="4"/>
  <c r="A183" i="7"/>
  <c r="C183" i="7" s="1"/>
  <c r="A322" i="7"/>
  <c r="A199" i="7"/>
  <c r="C199" i="7" s="1"/>
  <c r="L93" i="8" s="1"/>
  <c r="C251" i="7"/>
  <c r="A382" i="7"/>
  <c r="A172" i="7"/>
  <c r="B172" i="7" s="1"/>
  <c r="A68" i="7"/>
  <c r="B68" i="7" s="1"/>
  <c r="C264" i="7"/>
  <c r="A268" i="7"/>
  <c r="C268" i="7" s="1"/>
  <c r="C351" i="4"/>
  <c r="A148" i="7"/>
  <c r="C148" i="7" s="1"/>
  <c r="C364" i="4"/>
  <c r="C348" i="4"/>
  <c r="C202" i="4"/>
  <c r="A106" i="7"/>
  <c r="C106" i="7" s="1"/>
  <c r="C284" i="7"/>
  <c r="C188" i="7"/>
  <c r="B79" i="7"/>
  <c r="A206" i="7"/>
  <c r="B206" i="7" s="1"/>
  <c r="C36" i="4"/>
  <c r="A253" i="7"/>
  <c r="A236" i="7"/>
  <c r="A139" i="7"/>
  <c r="C139" i="7" s="1"/>
  <c r="C326" i="4"/>
  <c r="A292" i="7"/>
  <c r="C292" i="7" s="1"/>
  <c r="S44" i="8" s="1"/>
  <c r="A293" i="7"/>
  <c r="B293" i="7" s="1"/>
  <c r="C259" i="7"/>
  <c r="Z27" i="8" s="1"/>
  <c r="C252" i="4"/>
  <c r="A55" i="7"/>
  <c r="B55" i="7" s="1"/>
  <c r="A363" i="7"/>
  <c r="B363" i="7" s="1"/>
  <c r="A247" i="7"/>
  <c r="C247" i="7" s="1"/>
  <c r="C48" i="4"/>
  <c r="A370" i="7"/>
  <c r="C370" i="7" s="1"/>
  <c r="S83" i="8" s="1"/>
  <c r="B281" i="7"/>
  <c r="C281" i="7"/>
  <c r="D281" i="7" s="1"/>
  <c r="B128" i="7"/>
  <c r="C128" i="7"/>
  <c r="C144" i="7"/>
  <c r="B144" i="7"/>
  <c r="C126" i="7"/>
  <c r="C200" i="7"/>
  <c r="A277" i="7"/>
  <c r="C277" i="7" s="1"/>
  <c r="A321" i="7"/>
  <c r="B321" i="7" s="1"/>
  <c r="A269" i="7"/>
  <c r="B269" i="7" s="1"/>
  <c r="A21" i="7"/>
  <c r="B21" i="7" s="1"/>
  <c r="A149" i="7"/>
  <c r="B149" i="7" s="1"/>
  <c r="C187" i="4"/>
  <c r="B38" i="7"/>
  <c r="A154" i="7"/>
  <c r="B154" i="7" s="1"/>
  <c r="C15" i="4"/>
  <c r="B318" i="7"/>
  <c r="E318" i="7" s="1"/>
  <c r="T57" i="8" s="1"/>
  <c r="D26" i="7"/>
  <c r="C352" i="7"/>
  <c r="D352" i="7" s="1"/>
  <c r="B272" i="7"/>
  <c r="C197" i="7"/>
  <c r="C185" i="7"/>
  <c r="A190" i="7"/>
  <c r="C161" i="4"/>
  <c r="A244" i="7"/>
  <c r="A224" i="7"/>
  <c r="C46" i="4"/>
  <c r="C32" i="4"/>
  <c r="A313" i="7"/>
  <c r="C313" i="7" s="1"/>
  <c r="A400" i="7"/>
  <c r="A117" i="7"/>
  <c r="B117" i="7" s="1"/>
  <c r="C168" i="4"/>
  <c r="C289" i="4"/>
  <c r="C155" i="4"/>
  <c r="C271" i="7"/>
  <c r="C313" i="4"/>
  <c r="C107" i="7"/>
  <c r="L47" i="8" s="1"/>
  <c r="A182" i="7"/>
  <c r="C182" i="7" s="1"/>
  <c r="A50" i="7"/>
  <c r="A338" i="7"/>
  <c r="A378" i="7"/>
  <c r="B378" i="7" s="1"/>
  <c r="C325" i="4"/>
  <c r="A51" i="7"/>
  <c r="C51" i="7" s="1"/>
  <c r="L19" i="8" s="1"/>
  <c r="C177" i="4"/>
  <c r="C224" i="4"/>
  <c r="A257" i="7"/>
  <c r="C257" i="7" s="1"/>
  <c r="Z26" i="8" s="1"/>
  <c r="B317" i="7"/>
  <c r="B114" i="7"/>
  <c r="C310" i="4"/>
  <c r="C287" i="4"/>
  <c r="A56" i="7"/>
  <c r="C56" i="7" s="1"/>
  <c r="C164" i="4"/>
  <c r="A273" i="7"/>
  <c r="B273" i="7" s="1"/>
  <c r="A97" i="7"/>
  <c r="B97" i="7" s="1"/>
  <c r="C270" i="4"/>
  <c r="C311" i="4"/>
  <c r="A342" i="7"/>
  <c r="C342" i="7" s="1"/>
  <c r="S69" i="8" s="1"/>
  <c r="A330" i="7"/>
  <c r="C330" i="7" s="1"/>
  <c r="C19" i="4"/>
  <c r="C220" i="4"/>
  <c r="D159" i="7"/>
  <c r="E159" i="7" s="1"/>
  <c r="M73" i="8" s="1"/>
  <c r="C355" i="4"/>
  <c r="A288" i="7"/>
  <c r="B288" i="7" s="1"/>
  <c r="B312" i="7"/>
  <c r="C312" i="7"/>
  <c r="S54" i="8" s="1"/>
  <c r="A328" i="7"/>
  <c r="B328" i="7" s="1"/>
  <c r="C169" i="4"/>
  <c r="A368" i="7"/>
  <c r="C368" i="7" s="1"/>
  <c r="S82" i="8" s="1"/>
  <c r="C365" i="4"/>
  <c r="C173" i="4"/>
  <c r="A360" i="7"/>
  <c r="B360" i="7" s="1"/>
  <c r="D340" i="7"/>
  <c r="B348" i="7"/>
  <c r="E348" i="7" s="1"/>
  <c r="T72" i="8" s="1"/>
  <c r="B123" i="7"/>
  <c r="E123" i="7" s="1"/>
  <c r="M55" i="8" s="1"/>
  <c r="A336" i="7"/>
  <c r="C180" i="4"/>
  <c r="A41" i="7"/>
  <c r="C41" i="7" s="1"/>
  <c r="L14" i="8" s="1"/>
  <c r="A61" i="7"/>
  <c r="B61" i="7" s="1"/>
  <c r="C278" i="4"/>
  <c r="A53" i="7"/>
  <c r="C86" i="4"/>
  <c r="C282" i="4"/>
  <c r="A93" i="7"/>
  <c r="C186" i="4"/>
  <c r="A89" i="7"/>
  <c r="A141" i="7"/>
  <c r="C288" i="4"/>
  <c r="C386" i="4"/>
  <c r="A161" i="7"/>
  <c r="B161" i="7" s="1"/>
  <c r="A153" i="7"/>
  <c r="C153" i="7" s="1"/>
  <c r="L70" i="8" s="1"/>
  <c r="C194" i="4"/>
  <c r="C388" i="4"/>
  <c r="A177" i="7"/>
  <c r="B177" i="7" s="1"/>
  <c r="A309" i="7"/>
  <c r="C95" i="4"/>
  <c r="A337" i="7"/>
  <c r="C385" i="4"/>
  <c r="A387" i="7"/>
  <c r="C387" i="7" s="1"/>
  <c r="C57" i="4"/>
  <c r="C162" i="4"/>
  <c r="A88" i="7"/>
  <c r="B88" i="7" s="1"/>
  <c r="A52" i="7"/>
  <c r="B52" i="7" s="1"/>
  <c r="C62" i="4"/>
  <c r="A320" i="7"/>
  <c r="C359" i="4"/>
  <c r="C364" i="7"/>
  <c r="B364" i="7"/>
  <c r="C77" i="4"/>
  <c r="A356" i="7"/>
  <c r="B167" i="7"/>
  <c r="B221" i="7"/>
  <c r="C221" i="7"/>
  <c r="C363" i="4"/>
  <c r="C301" i="4"/>
  <c r="A238" i="7"/>
  <c r="B238" i="7" s="1"/>
  <c r="C242" i="7"/>
  <c r="S19" i="8" s="1"/>
  <c r="B242" i="7"/>
  <c r="D124" i="7"/>
  <c r="C212" i="7"/>
  <c r="B340" i="7"/>
  <c r="D194" i="7"/>
  <c r="C269" i="4"/>
  <c r="C167" i="4"/>
  <c r="A82" i="7"/>
  <c r="C18" i="4"/>
  <c r="C356" i="4"/>
  <c r="A112" i="7"/>
  <c r="B112" i="7" s="1"/>
  <c r="D240" i="7"/>
  <c r="C227" i="4"/>
  <c r="A219" i="7"/>
  <c r="B219" i="7" s="1"/>
  <c r="C133" i="4"/>
  <c r="A231" i="7"/>
  <c r="C231" i="7" s="1"/>
  <c r="Z13" i="8" s="1"/>
  <c r="D95" i="7"/>
  <c r="B115" i="7"/>
  <c r="A225" i="7"/>
  <c r="C79" i="4"/>
  <c r="A103" i="7"/>
  <c r="A160" i="7"/>
  <c r="B160" i="7" s="1"/>
  <c r="C50" i="4"/>
  <c r="C331" i="7"/>
  <c r="D331" i="7" s="1"/>
  <c r="D396" i="7"/>
  <c r="C330" i="4"/>
  <c r="C222" i="4"/>
  <c r="A286" i="7"/>
  <c r="A355" i="7"/>
  <c r="B355" i="7" s="1"/>
  <c r="B396" i="7"/>
  <c r="A303" i="7"/>
  <c r="C41" i="4"/>
  <c r="B131" i="7"/>
  <c r="C207" i="4"/>
  <c r="C104" i="4"/>
  <c r="D114" i="7"/>
  <c r="D38" i="7"/>
  <c r="D181" i="7"/>
  <c r="C176" i="7"/>
  <c r="C136" i="7"/>
  <c r="A74" i="7"/>
  <c r="C208" i="4"/>
  <c r="A122" i="7"/>
  <c r="C122" i="7" s="1"/>
  <c r="C214" i="4"/>
  <c r="C26" i="4"/>
  <c r="A146" i="7"/>
  <c r="C174" i="4"/>
  <c r="A184" i="7"/>
  <c r="B184" i="7" s="1"/>
  <c r="C368" i="4"/>
  <c r="A208" i="7"/>
  <c r="C29" i="4"/>
  <c r="A354" i="7"/>
  <c r="B354" i="7" s="1"/>
  <c r="C339" i="7"/>
  <c r="Z67" i="8" s="1"/>
  <c r="B339" i="7"/>
  <c r="C147" i="4"/>
  <c r="A343" i="7"/>
  <c r="B343" i="7" s="1"/>
  <c r="C114" i="4"/>
  <c r="A86" i="7"/>
  <c r="B86" i="7" s="1"/>
  <c r="C156" i="4"/>
  <c r="A40" i="7"/>
  <c r="B240" i="7"/>
  <c r="C291" i="4"/>
  <c r="A361" i="7"/>
  <c r="C22" i="4"/>
  <c r="C347" i="7"/>
  <c r="C176" i="4"/>
  <c r="A45" i="7"/>
  <c r="C324" i="4"/>
  <c r="A397" i="7"/>
  <c r="C397" i="7" s="1"/>
  <c r="Z96" i="8" s="1"/>
  <c r="A20" i="7"/>
  <c r="B20" i="7" s="1"/>
  <c r="C243" i="4"/>
  <c r="C108" i="4"/>
  <c r="A129" i="7"/>
  <c r="C129" i="7" s="1"/>
  <c r="L58" i="8" s="1"/>
  <c r="C382" i="4"/>
  <c r="C286" i="4"/>
  <c r="A125" i="7"/>
  <c r="C125" i="7" s="1"/>
  <c r="C107" i="4"/>
  <c r="A260" i="7"/>
  <c r="C65" i="4"/>
  <c r="A297" i="7"/>
  <c r="C189" i="4"/>
  <c r="C306" i="4"/>
  <c r="A94" i="7"/>
  <c r="A58" i="7"/>
  <c r="C206" i="4"/>
  <c r="A198" i="7"/>
  <c r="C128" i="4"/>
  <c r="C28" i="7"/>
  <c r="C296" i="7"/>
  <c r="A102" i="7"/>
  <c r="A29" i="7"/>
  <c r="C29" i="7" s="1"/>
  <c r="L8" i="8" s="1"/>
  <c r="C349" i="7"/>
  <c r="C198" i="4"/>
  <c r="A24" i="7"/>
  <c r="A25" i="7"/>
  <c r="C241" i="4"/>
  <c r="A230" i="7"/>
  <c r="C341" i="4"/>
  <c r="A359" i="7"/>
  <c r="A98" i="7"/>
  <c r="C20" i="4"/>
  <c r="A39" i="7"/>
  <c r="C39" i="7" s="1"/>
  <c r="L13" i="8" s="1"/>
  <c r="C132" i="4"/>
  <c r="D79" i="7"/>
  <c r="E79" i="7" s="1"/>
  <c r="M33" i="8" s="1"/>
  <c r="A91" i="7"/>
  <c r="C234" i="4"/>
  <c r="A299" i="7"/>
  <c r="C237" i="4"/>
  <c r="C141" i="4"/>
  <c r="A295" i="7"/>
  <c r="C47" i="4"/>
  <c r="A307" i="7"/>
  <c r="C259" i="4"/>
  <c r="C231" i="4"/>
  <c r="C329" i="4"/>
  <c r="A275" i="7"/>
  <c r="B275" i="7" s="1"/>
  <c r="C22" i="7"/>
  <c r="B22" i="7"/>
  <c r="C209" i="4"/>
  <c r="A266" i="7"/>
  <c r="A229" i="7"/>
  <c r="C85" i="4"/>
  <c r="A365" i="7"/>
  <c r="C293" i="4"/>
  <c r="C101" i="4"/>
  <c r="A357" i="7"/>
  <c r="E272" i="7"/>
  <c r="T34" i="8" s="1"/>
  <c r="C345" i="4"/>
  <c r="A57" i="7"/>
  <c r="C57" i="7" s="1"/>
  <c r="C182" i="4"/>
  <c r="A109" i="7"/>
  <c r="C284" i="4"/>
  <c r="B302" i="7"/>
  <c r="C61" i="4"/>
  <c r="A105" i="7"/>
  <c r="C106" i="4"/>
  <c r="B379" i="7"/>
  <c r="A262" i="7"/>
  <c r="C262" i="7" s="1"/>
  <c r="S29" i="8" s="1"/>
  <c r="B274" i="7"/>
  <c r="A31" i="7"/>
  <c r="C322" i="4"/>
  <c r="C226" i="4"/>
  <c r="A27" i="7"/>
  <c r="D274" i="7"/>
  <c r="C323" i="4"/>
  <c r="A223" i="7"/>
  <c r="C277" i="4"/>
  <c r="A237" i="7"/>
  <c r="C181" i="4"/>
  <c r="A233" i="7"/>
  <c r="A325" i="7"/>
  <c r="C97" i="4"/>
  <c r="A395" i="7"/>
  <c r="C395" i="7" s="1"/>
  <c r="C249" i="4"/>
  <c r="C60" i="4"/>
  <c r="A36" i="7"/>
  <c r="A371" i="7"/>
  <c r="C55" i="4"/>
  <c r="D302" i="7"/>
  <c r="E302" i="7" s="1"/>
  <c r="T49" i="8" s="1"/>
  <c r="C247" i="4"/>
  <c r="A37" i="7"/>
  <c r="B37" i="7" s="1"/>
  <c r="C84" i="4"/>
  <c r="A65" i="7"/>
  <c r="C374" i="4"/>
  <c r="C376" i="4"/>
  <c r="A81" i="7"/>
  <c r="A77" i="7"/>
  <c r="B77" i="7" s="1"/>
  <c r="C280" i="4"/>
  <c r="A69" i="7"/>
  <c r="C69" i="7" s="1"/>
  <c r="L28" i="8" s="1"/>
  <c r="C88" i="4"/>
  <c r="C90" i="4"/>
  <c r="A85" i="7"/>
  <c r="A113" i="7"/>
  <c r="C380" i="4"/>
  <c r="C92" i="4"/>
  <c r="A101" i="7"/>
  <c r="C157" i="4"/>
  <c r="A232" i="7"/>
  <c r="D167" i="7"/>
  <c r="C228" i="7"/>
  <c r="S12" i="8" s="1"/>
  <c r="A73" i="7"/>
  <c r="C47" i="7"/>
  <c r="L17" i="8" s="1"/>
  <c r="B47" i="7"/>
  <c r="A43" i="7"/>
  <c r="C228" i="4"/>
  <c r="A121" i="7"/>
  <c r="C190" i="4"/>
  <c r="A145" i="7"/>
  <c r="C384" i="4"/>
  <c r="C192" i="4"/>
  <c r="A137" i="7"/>
  <c r="C255" i="4"/>
  <c r="A252" i="7"/>
  <c r="A350" i="7"/>
  <c r="C350" i="7" s="1"/>
  <c r="S73" i="8" s="1"/>
  <c r="C315" i="4"/>
  <c r="C271" i="4"/>
  <c r="A380" i="7"/>
  <c r="C175" i="4"/>
  <c r="A376" i="7"/>
  <c r="B239" i="7"/>
  <c r="C239" i="7"/>
  <c r="C183" i="4"/>
  <c r="A249" i="7"/>
  <c r="C249" i="7" s="1"/>
  <c r="D249" i="7" s="1"/>
  <c r="A245" i="7"/>
  <c r="C87" i="4"/>
  <c r="A261" i="7"/>
  <c r="B261" i="7" s="1"/>
  <c r="C89" i="4"/>
  <c r="C49" i="4"/>
  <c r="A323" i="7"/>
  <c r="A62" i="7"/>
  <c r="C302" i="4"/>
  <c r="D44" i="7"/>
  <c r="C334" i="7"/>
  <c r="S65" i="8" s="1"/>
  <c r="B334" i="7"/>
  <c r="A118" i="7"/>
  <c r="C118" i="4"/>
  <c r="A130" i="7"/>
  <c r="C24" i="4"/>
  <c r="C312" i="4"/>
  <c r="A142" i="7"/>
  <c r="A138" i="7"/>
  <c r="C216" i="4"/>
  <c r="A168" i="7"/>
  <c r="B168" i="7" s="1"/>
  <c r="C172" i="4"/>
  <c r="A164" i="7"/>
  <c r="B164" i="7" s="1"/>
  <c r="C76" i="4"/>
  <c r="A83" i="7"/>
  <c r="C42" i="4"/>
  <c r="A169" i="7"/>
  <c r="C196" i="4"/>
  <c r="C390" i="4"/>
  <c r="A193" i="7"/>
  <c r="C193" i="7" s="1"/>
  <c r="C296" i="4"/>
  <c r="A205" i="7"/>
  <c r="C205" i="7" s="1"/>
  <c r="L96" i="8" s="1"/>
  <c r="C200" i="4"/>
  <c r="A201" i="7"/>
  <c r="C201" i="7" s="1"/>
  <c r="B214" i="7"/>
  <c r="C214" i="7"/>
  <c r="S5" i="8" s="1"/>
  <c r="A226" i="7"/>
  <c r="C226" i="7" s="1"/>
  <c r="S11" i="8" s="1"/>
  <c r="C13" i="4"/>
  <c r="A366" i="7"/>
  <c r="B366" i="7" s="1"/>
  <c r="C317" i="4"/>
  <c r="C367" i="7"/>
  <c r="B367" i="7"/>
  <c r="A70" i="7"/>
  <c r="C112" i="4"/>
  <c r="C80" i="4"/>
  <c r="A196" i="7"/>
  <c r="B196" i="7" s="1"/>
  <c r="A33" i="7"/>
  <c r="C33" i="7" s="1"/>
  <c r="L10" i="8" s="1"/>
  <c r="C370" i="4"/>
  <c r="B147" i="7"/>
  <c r="C147" i="7"/>
  <c r="L67" i="8" s="1"/>
  <c r="A155" i="7"/>
  <c r="C242" i="4"/>
  <c r="B163" i="7"/>
  <c r="C163" i="7"/>
  <c r="L75" i="8" s="1"/>
  <c r="C263" i="4"/>
  <c r="A316" i="7"/>
  <c r="C71" i="4"/>
  <c r="A308" i="7"/>
  <c r="C265" i="4"/>
  <c r="A332" i="7"/>
  <c r="C73" i="4"/>
  <c r="A324" i="7"/>
  <c r="A78" i="7"/>
  <c r="C304" i="4"/>
  <c r="A329" i="7"/>
  <c r="C329" i="7" s="1"/>
  <c r="Z62" i="8" s="1"/>
  <c r="A301" i="7"/>
  <c r="B301" i="7" s="1"/>
  <c r="A388" i="7"/>
  <c r="C273" i="4"/>
  <c r="C99" i="4"/>
  <c r="C391" i="4"/>
  <c r="A311" i="7"/>
  <c r="B311" i="7" s="1"/>
  <c r="C51" i="4"/>
  <c r="A393" i="7"/>
  <c r="C393" i="7" s="1"/>
  <c r="D393" i="7" s="1"/>
  <c r="E393" i="7" s="1"/>
  <c r="AA94" i="8" s="1"/>
  <c r="A310" i="7"/>
  <c r="C119" i="4"/>
  <c r="D48" i="7"/>
  <c r="C18" i="7"/>
  <c r="B18" i="7"/>
  <c r="C171" i="4"/>
  <c r="D179" i="7"/>
  <c r="C37" i="4"/>
  <c r="A227" i="7"/>
  <c r="C344" i="7"/>
  <c r="S70" i="8" s="1"/>
  <c r="B344" i="7"/>
  <c r="C10" i="4"/>
  <c r="C75" i="4"/>
  <c r="C248" i="7"/>
  <c r="S22" i="8" s="1"/>
  <c r="B248" i="7"/>
  <c r="B120" i="7"/>
  <c r="C120" i="7"/>
  <c r="A314" i="7"/>
  <c r="B314" i="7" s="1"/>
  <c r="A34" i="7"/>
  <c r="C12" i="4"/>
  <c r="C16" i="4"/>
  <c r="A66" i="7"/>
  <c r="C260" i="4"/>
  <c r="A108" i="7"/>
  <c r="A150" i="7"/>
  <c r="C150" i="7" s="1"/>
  <c r="C122" i="4"/>
  <c r="A133" i="7"/>
  <c r="C133" i="7" s="1"/>
  <c r="L60" i="8" s="1"/>
  <c r="C96" i="4"/>
  <c r="A151" i="7"/>
  <c r="C146" i="4"/>
  <c r="C294" i="4"/>
  <c r="A189" i="7"/>
  <c r="C392" i="4"/>
  <c r="A209" i="7"/>
  <c r="C205" i="4"/>
  <c r="A234" i="7"/>
  <c r="C163" i="4"/>
  <c r="A280" i="7"/>
  <c r="C219" i="4"/>
  <c r="A346" i="7"/>
  <c r="C117" i="4"/>
  <c r="A294" i="7"/>
  <c r="A213" i="7"/>
  <c r="C83" i="4"/>
  <c r="C137" i="4"/>
  <c r="A263" i="7"/>
  <c r="C335" i="4"/>
  <c r="A319" i="7"/>
  <c r="C195" i="4"/>
  <c r="A345" i="7"/>
  <c r="C341" i="7"/>
  <c r="Z68" i="8" s="1"/>
  <c r="B341" i="7"/>
  <c r="A401" i="7"/>
  <c r="C401" i="7" s="1"/>
  <c r="D401" i="7" s="1"/>
  <c r="C393" i="4"/>
  <c r="A80" i="7"/>
  <c r="C352" i="4"/>
  <c r="C256" i="4"/>
  <c r="A76" i="7"/>
  <c r="A60" i="7"/>
  <c r="C254" i="4"/>
  <c r="A377" i="7"/>
  <c r="C199" i="4"/>
  <c r="A386" i="7"/>
  <c r="C33" i="4"/>
  <c r="A134" i="7"/>
  <c r="C134" i="7" s="1"/>
  <c r="C120" i="4"/>
  <c r="C299" i="4"/>
  <c r="A222" i="7"/>
  <c r="A246" i="7"/>
  <c r="C111" i="4"/>
  <c r="C17" i="4"/>
  <c r="A258" i="7"/>
  <c r="C258" i="7" s="1"/>
  <c r="S27" i="8" s="1"/>
  <c r="A270" i="7"/>
  <c r="C121" i="4"/>
  <c r="A326" i="7"/>
  <c r="C229" i="4"/>
  <c r="A235" i="7"/>
  <c r="C204" i="4"/>
  <c r="A42" i="7"/>
  <c r="B156" i="7"/>
  <c r="C156" i="7"/>
  <c r="C30" i="4"/>
  <c r="A178" i="7"/>
  <c r="C372" i="4"/>
  <c r="A49" i="7"/>
  <c r="A111" i="7"/>
  <c r="C332" i="4"/>
  <c r="C290" i="4"/>
  <c r="A157" i="7"/>
  <c r="B191" i="7"/>
  <c r="C191" i="7"/>
  <c r="L89" i="8" s="1"/>
  <c r="A220" i="7"/>
  <c r="C251" i="4"/>
  <c r="A358" i="7"/>
  <c r="C125" i="4"/>
  <c r="A283" i="7"/>
  <c r="C235" i="4"/>
  <c r="A279" i="7"/>
  <c r="C139" i="4"/>
  <c r="C339" i="4"/>
  <c r="A351" i="7"/>
  <c r="A369" i="7"/>
  <c r="C389" i="4"/>
  <c r="C105" i="4"/>
  <c r="A389" i="7"/>
  <c r="C389" i="7" s="1"/>
  <c r="Z92" i="8" s="1"/>
  <c r="C258" i="4"/>
  <c r="A92" i="7"/>
  <c r="C66" i="4"/>
  <c r="A84" i="7"/>
  <c r="A54" i="7"/>
  <c r="C110" i="4"/>
  <c r="A381" i="7"/>
  <c r="C295" i="4"/>
  <c r="A19" i="7"/>
  <c r="C34" i="4"/>
  <c r="C136" i="4"/>
  <c r="A71" i="7"/>
  <c r="D131" i="7"/>
  <c r="C144" i="4"/>
  <c r="A135" i="7"/>
  <c r="A278" i="7"/>
  <c r="C115" i="4"/>
  <c r="A362" i="7"/>
  <c r="C221" i="4"/>
  <c r="C213" i="4"/>
  <c r="A298" i="7"/>
  <c r="C185" i="4"/>
  <c r="A265" i="7"/>
  <c r="C45" i="4"/>
  <c r="A291" i="7"/>
  <c r="C385" i="7"/>
  <c r="Z90" i="8" s="1"/>
  <c r="B385" i="7"/>
  <c r="A210" i="7"/>
  <c r="C11" i="4"/>
  <c r="C303" i="4"/>
  <c r="A254" i="7"/>
  <c r="B250" i="7"/>
  <c r="C250" i="7"/>
  <c r="S23" i="8" s="1"/>
  <c r="C211" i="4"/>
  <c r="A282" i="7"/>
  <c r="A211" i="7"/>
  <c r="C35" i="4"/>
  <c r="A390" i="7"/>
  <c r="C129" i="4"/>
  <c r="D333" i="7"/>
  <c r="B333" i="7"/>
  <c r="E333" i="7" s="1"/>
  <c r="AA64" i="8" s="1"/>
  <c r="A398" i="7"/>
  <c r="A373" i="7"/>
  <c r="A132" i="7"/>
  <c r="C72" i="4"/>
  <c r="C366" i="4"/>
  <c r="A192" i="7"/>
  <c r="A180" i="7"/>
  <c r="C78" i="4"/>
  <c r="C272" i="4"/>
  <c r="A204" i="7"/>
  <c r="A67" i="7"/>
  <c r="C40" i="4"/>
  <c r="C44" i="4"/>
  <c r="A99" i="7"/>
  <c r="E317" i="7"/>
  <c r="AA56" i="8" s="1"/>
  <c r="D399" i="7"/>
  <c r="E399" i="7" s="1"/>
  <c r="AA97" i="8" s="1"/>
  <c r="C246" i="4"/>
  <c r="A290" i="7"/>
  <c r="C21" i="4"/>
  <c r="C131" i="4"/>
  <c r="A215" i="7"/>
  <c r="C327" i="4"/>
  <c r="A255" i="7"/>
  <c r="C331" i="4"/>
  <c r="A287" i="7"/>
  <c r="A305" i="7"/>
  <c r="C381" i="4"/>
  <c r="C153" i="4"/>
  <c r="A391" i="7"/>
  <c r="C391" i="7" s="1"/>
  <c r="C160" i="4"/>
  <c r="A72" i="7"/>
  <c r="D379" i="7"/>
  <c r="Z87" i="8"/>
  <c r="C392" i="7"/>
  <c r="S94" i="8" s="1"/>
  <c r="B392" i="7"/>
  <c r="A158" i="7"/>
  <c r="C314" i="4"/>
  <c r="A218" i="7"/>
  <c r="C203" i="4"/>
  <c r="A243" i="7"/>
  <c r="C39" i="4"/>
  <c r="A335" i="7"/>
  <c r="C337" i="4"/>
  <c r="A23" i="7"/>
  <c r="A162" i="7"/>
  <c r="C28" i="4"/>
  <c r="C142" i="4"/>
  <c r="A119" i="7"/>
  <c r="A315" i="7"/>
  <c r="C239" i="4"/>
  <c r="B104" i="7"/>
  <c r="C104" i="7"/>
  <c r="B202" i="7"/>
  <c r="C202" i="7"/>
  <c r="E95" i="8" s="1"/>
  <c r="C35" i="7"/>
  <c r="L11" i="8" s="1"/>
  <c r="B35" i="7"/>
  <c r="C336" i="4"/>
  <c r="A143" i="7"/>
  <c r="B175" i="7"/>
  <c r="C175" i="7"/>
  <c r="L81" i="8" s="1"/>
  <c r="C233" i="4"/>
  <c r="A267" i="7"/>
  <c r="A375" i="7"/>
  <c r="C151" i="4"/>
  <c r="A37" i="4" l="1"/>
  <c r="A61" i="4" s="1"/>
  <c r="A85" i="4" s="1"/>
  <c r="A109" i="4" s="1"/>
  <c r="A133" i="4" s="1"/>
  <c r="A157" i="4" s="1"/>
  <c r="A181" i="4" s="1"/>
  <c r="A205" i="4" s="1"/>
  <c r="A229" i="4" s="1"/>
  <c r="A253" i="4" s="1"/>
  <c r="A277" i="4" s="1"/>
  <c r="A301" i="4" s="1"/>
  <c r="A325" i="4" s="1"/>
  <c r="A349" i="4" s="1"/>
  <c r="A373" i="4" s="1"/>
  <c r="A14" i="4"/>
  <c r="E396" i="7"/>
  <c r="T96" i="8" s="1"/>
  <c r="E181" i="7"/>
  <c r="M84" i="8" s="1"/>
  <c r="E274" i="7"/>
  <c r="T35" i="8" s="1"/>
  <c r="E240" i="7"/>
  <c r="T18" i="8" s="1"/>
  <c r="E340" i="7"/>
  <c r="T68" i="8" s="1"/>
  <c r="D367" i="7"/>
  <c r="Z81" i="8"/>
  <c r="E349" i="7"/>
  <c r="AA72" i="8" s="1"/>
  <c r="Z72" i="8"/>
  <c r="D221" i="7"/>
  <c r="Z8" i="8"/>
  <c r="E313" i="7"/>
  <c r="AA54" i="8" s="1"/>
  <c r="D247" i="7"/>
  <c r="Z21" i="8"/>
  <c r="Z6" i="8"/>
  <c r="E131" i="7"/>
  <c r="M59" i="8" s="1"/>
  <c r="Z17" i="8"/>
  <c r="Z33" i="8"/>
  <c r="D277" i="7"/>
  <c r="Z36" i="8"/>
  <c r="Z54" i="8"/>
  <c r="E372" i="7"/>
  <c r="T84" i="8" s="1"/>
  <c r="Z23" i="8"/>
  <c r="E179" i="7"/>
  <c r="M83" i="8" s="1"/>
  <c r="Z38" i="8"/>
  <c r="D347" i="7"/>
  <c r="Z71" i="8"/>
  <c r="E167" i="7"/>
  <c r="M77" i="8" s="1"/>
  <c r="E115" i="7"/>
  <c r="M51" i="8" s="1"/>
  <c r="Z22" i="8"/>
  <c r="Z74" i="8"/>
  <c r="D364" i="7"/>
  <c r="E364" i="7" s="1"/>
  <c r="T80" i="8" s="1"/>
  <c r="S80" i="8"/>
  <c r="S63" i="8"/>
  <c r="E95" i="7"/>
  <c r="M41" i="8" s="1"/>
  <c r="S6" i="8"/>
  <c r="S26" i="8"/>
  <c r="S51" i="8"/>
  <c r="D268" i="7"/>
  <c r="E268" i="7" s="1"/>
  <c r="T32" i="8" s="1"/>
  <c r="S32" i="8"/>
  <c r="D304" i="7"/>
  <c r="S50" i="8"/>
  <c r="L97" i="8"/>
  <c r="D284" i="7"/>
  <c r="S40" i="8"/>
  <c r="S30" i="8"/>
  <c r="S85" i="8"/>
  <c r="S46" i="8"/>
  <c r="S4" i="8"/>
  <c r="S74" i="8"/>
  <c r="D201" i="7"/>
  <c r="L94" i="8"/>
  <c r="D57" i="7"/>
  <c r="L22" i="8"/>
  <c r="L85" i="8"/>
  <c r="D197" i="7"/>
  <c r="E197" i="7" s="1"/>
  <c r="M92" i="8" s="1"/>
  <c r="L92" i="8"/>
  <c r="L95" i="8"/>
  <c r="L90" i="8"/>
  <c r="L31" i="8"/>
  <c r="D63" i="7"/>
  <c r="E63" i="7" s="1"/>
  <c r="M25" i="8" s="1"/>
  <c r="L25" i="8"/>
  <c r="D125" i="7"/>
  <c r="L56" i="8"/>
  <c r="D139" i="7"/>
  <c r="L63" i="8"/>
  <c r="L87" i="8"/>
  <c r="L86" i="8"/>
  <c r="L91" i="8"/>
  <c r="B54" i="1"/>
  <c r="E44" i="7"/>
  <c r="C384" i="7"/>
  <c r="E48" i="7"/>
  <c r="E124" i="7"/>
  <c r="D75" i="7"/>
  <c r="E114" i="7"/>
  <c r="D256" i="7"/>
  <c r="E256" i="7" s="1"/>
  <c r="T26" i="8" s="1"/>
  <c r="C173" i="7"/>
  <c r="C96" i="7"/>
  <c r="D96" i="7" s="1"/>
  <c r="E38" i="7"/>
  <c r="B100" i="7"/>
  <c r="E100" i="7" s="1"/>
  <c r="B75" i="7"/>
  <c r="B217" i="7"/>
  <c r="E217" i="7" s="1"/>
  <c r="AA6" i="8" s="1"/>
  <c r="E26" i="7"/>
  <c r="E194" i="7"/>
  <c r="E46" i="7"/>
  <c r="D166" i="7"/>
  <c r="E166" i="7" s="1"/>
  <c r="D56" i="7"/>
  <c r="D188" i="7"/>
  <c r="E188" i="7" s="1"/>
  <c r="E94" i="8"/>
  <c r="D110" i="7"/>
  <c r="B383" i="7"/>
  <c r="C90" i="7"/>
  <c r="C300" i="7"/>
  <c r="B231" i="7"/>
  <c r="B304" i="7"/>
  <c r="E304" i="7" s="1"/>
  <c r="T50" i="8" s="1"/>
  <c r="C241" i="7"/>
  <c r="B207" i="7"/>
  <c r="E207" i="7" s="1"/>
  <c r="M97" i="8" s="1"/>
  <c r="C289" i="7"/>
  <c r="D203" i="7"/>
  <c r="C238" i="7"/>
  <c r="C321" i="7"/>
  <c r="B129" i="7"/>
  <c r="B247" i="7"/>
  <c r="E247" i="7" s="1"/>
  <c r="AA21" i="8" s="1"/>
  <c r="B203" i="7"/>
  <c r="C273" i="7"/>
  <c r="B110" i="7"/>
  <c r="C21" i="7"/>
  <c r="B64" i="7"/>
  <c r="C327" i="7"/>
  <c r="D374" i="7"/>
  <c r="D185" i="7"/>
  <c r="E185" i="7" s="1"/>
  <c r="M86" i="8" s="1"/>
  <c r="D64" i="7"/>
  <c r="C276" i="7"/>
  <c r="D271" i="7"/>
  <c r="E271" i="7" s="1"/>
  <c r="AA33" i="8" s="1"/>
  <c r="B127" i="7"/>
  <c r="D195" i="7"/>
  <c r="B51" i="7"/>
  <c r="D216" i="7"/>
  <c r="E216" i="7" s="1"/>
  <c r="T6" i="8" s="1"/>
  <c r="B330" i="7"/>
  <c r="B226" i="7"/>
  <c r="C168" i="7"/>
  <c r="E284" i="7"/>
  <c r="T40" i="8" s="1"/>
  <c r="C285" i="7"/>
  <c r="E281" i="7"/>
  <c r="AA38" i="8" s="1"/>
  <c r="C87" i="7"/>
  <c r="D264" i="7"/>
  <c r="E264" i="7" s="1"/>
  <c r="T30" i="8" s="1"/>
  <c r="D259" i="7"/>
  <c r="E259" i="7" s="1"/>
  <c r="AA27" i="8" s="1"/>
  <c r="E367" i="7"/>
  <c r="AA81" i="8" s="1"/>
  <c r="C140" i="7"/>
  <c r="C184" i="7"/>
  <c r="B370" i="7"/>
  <c r="B122" i="7"/>
  <c r="D186" i="7"/>
  <c r="E186" i="7" s="1"/>
  <c r="D397" i="7"/>
  <c r="E397" i="7" s="1"/>
  <c r="AA96" i="8" s="1"/>
  <c r="D353" i="7"/>
  <c r="E353" i="7" s="1"/>
  <c r="AA74" i="8" s="1"/>
  <c r="C59" i="7"/>
  <c r="L23" i="8" s="1"/>
  <c r="D32" i="7"/>
  <c r="E32" i="7" s="1"/>
  <c r="D313" i="7"/>
  <c r="C174" i="7"/>
  <c r="D171" i="7"/>
  <c r="E171" i="7" s="1"/>
  <c r="M79" i="8" s="1"/>
  <c r="C275" i="7"/>
  <c r="B292" i="7"/>
  <c r="B183" i="7"/>
  <c r="B41" i="7"/>
  <c r="D183" i="7"/>
  <c r="B374" i="7"/>
  <c r="B133" i="7"/>
  <c r="B268" i="7"/>
  <c r="D292" i="7"/>
  <c r="B106" i="7"/>
  <c r="B153" i="7"/>
  <c r="D187" i="7"/>
  <c r="E187" i="7" s="1"/>
  <c r="M87" i="8" s="1"/>
  <c r="C301" i="7"/>
  <c r="B249" i="7"/>
  <c r="B33" i="7"/>
  <c r="B199" i="7"/>
  <c r="D306" i="7"/>
  <c r="E306" i="7" s="1"/>
  <c r="T51" i="8" s="1"/>
  <c r="E352" i="7"/>
  <c r="T74" i="8" s="1"/>
  <c r="D144" i="7"/>
  <c r="E144" i="7" s="1"/>
  <c r="B56" i="7"/>
  <c r="C293" i="7"/>
  <c r="C311" i="7"/>
  <c r="D30" i="7"/>
  <c r="E30" i="7" s="1"/>
  <c r="D128" i="7"/>
  <c r="E128" i="7" s="1"/>
  <c r="B182" i="7"/>
  <c r="C196" i="7"/>
  <c r="B116" i="7"/>
  <c r="E116" i="7" s="1"/>
  <c r="C172" i="7"/>
  <c r="B353" i="7"/>
  <c r="C117" i="7"/>
  <c r="B195" i="7"/>
  <c r="B257" i="7"/>
  <c r="B139" i="7"/>
  <c r="C322" i="7"/>
  <c r="S59" i="8" s="1"/>
  <c r="B322" i="7"/>
  <c r="C165" i="7"/>
  <c r="L76" i="8" s="1"/>
  <c r="B165" i="7"/>
  <c r="C154" i="7"/>
  <c r="B350" i="7"/>
  <c r="C20" i="7"/>
  <c r="C97" i="7"/>
  <c r="C206" i="7"/>
  <c r="C86" i="7"/>
  <c r="C378" i="7"/>
  <c r="C236" i="7"/>
  <c r="S16" i="8" s="1"/>
  <c r="B236" i="7"/>
  <c r="E331" i="7"/>
  <c r="AA63" i="8" s="1"/>
  <c r="C261" i="7"/>
  <c r="D193" i="7"/>
  <c r="C68" i="7"/>
  <c r="B148" i="7"/>
  <c r="D349" i="7"/>
  <c r="D200" i="7"/>
  <c r="E200" i="7" s="1"/>
  <c r="F94" i="8" s="1"/>
  <c r="B39" i="7"/>
  <c r="C160" i="7"/>
  <c r="C149" i="7"/>
  <c r="C363" i="7"/>
  <c r="B277" i="7"/>
  <c r="D251" i="7"/>
  <c r="E251" i="7" s="1"/>
  <c r="AA23" i="8" s="1"/>
  <c r="C253" i="7"/>
  <c r="Z24" i="8" s="1"/>
  <c r="B253" i="7"/>
  <c r="C382" i="7"/>
  <c r="S89" i="8" s="1"/>
  <c r="B382" i="7"/>
  <c r="B262" i="7"/>
  <c r="C355" i="7"/>
  <c r="B342" i="7"/>
  <c r="C55" i="7"/>
  <c r="C269" i="7"/>
  <c r="D257" i="7"/>
  <c r="E257" i="7"/>
  <c r="AA26" i="8" s="1"/>
  <c r="D262" i="7"/>
  <c r="C338" i="7"/>
  <c r="S67" i="8" s="1"/>
  <c r="B338" i="7"/>
  <c r="B244" i="7"/>
  <c r="C244" i="7"/>
  <c r="S20" i="8" s="1"/>
  <c r="B193" i="7"/>
  <c r="C161" i="7"/>
  <c r="D296" i="7"/>
  <c r="E296" i="7" s="1"/>
  <c r="T46" i="8" s="1"/>
  <c r="C343" i="7"/>
  <c r="C328" i="7"/>
  <c r="D126" i="7"/>
  <c r="E126" i="7" s="1"/>
  <c r="D51" i="7"/>
  <c r="C50" i="7"/>
  <c r="B50" i="7"/>
  <c r="B190" i="7"/>
  <c r="C190" i="7"/>
  <c r="B313" i="7"/>
  <c r="B29" i="7"/>
  <c r="E221" i="7"/>
  <c r="AA8" i="8" s="1"/>
  <c r="B368" i="7"/>
  <c r="D107" i="7"/>
  <c r="E107" i="7" s="1"/>
  <c r="M47" i="8" s="1"/>
  <c r="B400" i="7"/>
  <c r="C400" i="7"/>
  <c r="S98" i="8" s="1"/>
  <c r="C224" i="7"/>
  <c r="S10" i="8" s="1"/>
  <c r="B224" i="7"/>
  <c r="B309" i="7"/>
  <c r="C309" i="7"/>
  <c r="Z52" i="8" s="1"/>
  <c r="B141" i="7"/>
  <c r="C141" i="7"/>
  <c r="L64" i="8" s="1"/>
  <c r="B125" i="7"/>
  <c r="C360" i="7"/>
  <c r="S78" i="8" s="1"/>
  <c r="Z91" i="8"/>
  <c r="B103" i="7"/>
  <c r="C103" i="7"/>
  <c r="L45" i="8" s="1"/>
  <c r="D242" i="7"/>
  <c r="E242" i="7" s="1"/>
  <c r="T19" i="8" s="1"/>
  <c r="C356" i="7"/>
  <c r="S76" i="8" s="1"/>
  <c r="B356" i="7"/>
  <c r="C89" i="7"/>
  <c r="L38" i="8" s="1"/>
  <c r="B89" i="7"/>
  <c r="E401" i="7"/>
  <c r="AA98" i="8" s="1"/>
  <c r="C366" i="7"/>
  <c r="C354" i="7"/>
  <c r="E277" i="7"/>
  <c r="AA36" i="8" s="1"/>
  <c r="D330" i="7"/>
  <c r="B57" i="7"/>
  <c r="B205" i="7"/>
  <c r="C77" i="7"/>
  <c r="D212" i="7"/>
  <c r="E212" i="7" s="1"/>
  <c r="T4" i="8" s="1"/>
  <c r="C177" i="7"/>
  <c r="L82" i="8" s="1"/>
  <c r="C219" i="7"/>
  <c r="C88" i="7"/>
  <c r="C288" i="7"/>
  <c r="S42" i="8" s="1"/>
  <c r="D387" i="7"/>
  <c r="E387" i="7" s="1"/>
  <c r="AA91" i="8" s="1"/>
  <c r="B286" i="7"/>
  <c r="C286" i="7"/>
  <c r="S41" i="8" s="1"/>
  <c r="B320" i="7"/>
  <c r="C320" i="7"/>
  <c r="S58" i="8" s="1"/>
  <c r="B337" i="7"/>
  <c r="C337" i="7"/>
  <c r="Z66" i="8" s="1"/>
  <c r="B53" i="7"/>
  <c r="C53" i="7"/>
  <c r="L20" i="8" s="1"/>
  <c r="D312" i="7"/>
  <c r="E312" i="7" s="1"/>
  <c r="T54" i="8" s="1"/>
  <c r="Z98" i="8"/>
  <c r="C61" i="7"/>
  <c r="E347" i="7"/>
  <c r="AA71" i="8" s="1"/>
  <c r="E249" i="7"/>
  <c r="AA22" i="8" s="1"/>
  <c r="Z94" i="8"/>
  <c r="C52" i="7"/>
  <c r="C112" i="7"/>
  <c r="C303" i="7"/>
  <c r="Z49" i="8" s="1"/>
  <c r="B303" i="7"/>
  <c r="B225" i="7"/>
  <c r="C225" i="7"/>
  <c r="Z10" i="8" s="1"/>
  <c r="C82" i="7"/>
  <c r="B82" i="7"/>
  <c r="B93" i="7"/>
  <c r="C93" i="7"/>
  <c r="L40" i="8" s="1"/>
  <c r="C336" i="7"/>
  <c r="S66" i="8" s="1"/>
  <c r="B336" i="7"/>
  <c r="D350" i="7"/>
  <c r="B299" i="7"/>
  <c r="C299" i="7"/>
  <c r="Z47" i="8" s="1"/>
  <c r="B98" i="7"/>
  <c r="C98" i="7"/>
  <c r="C25" i="7"/>
  <c r="L6" i="8" s="1"/>
  <c r="B25" i="7"/>
  <c r="B208" i="7"/>
  <c r="C208" i="7"/>
  <c r="E98" i="8" s="1"/>
  <c r="C146" i="7"/>
  <c r="B146" i="7"/>
  <c r="C164" i="7"/>
  <c r="B69" i="7"/>
  <c r="C295" i="7"/>
  <c r="Z45" i="8" s="1"/>
  <c r="B295" i="7"/>
  <c r="C359" i="7"/>
  <c r="Z77" i="8" s="1"/>
  <c r="B359" i="7"/>
  <c r="B24" i="7"/>
  <c r="C24" i="7"/>
  <c r="C102" i="7"/>
  <c r="B102" i="7"/>
  <c r="C58" i="7"/>
  <c r="B58" i="7"/>
  <c r="C297" i="7"/>
  <c r="Z46" i="8" s="1"/>
  <c r="B297" i="7"/>
  <c r="D127" i="7"/>
  <c r="D339" i="7"/>
  <c r="E339" i="7" s="1"/>
  <c r="AA67" i="8" s="1"/>
  <c r="B74" i="7"/>
  <c r="C74" i="7"/>
  <c r="D136" i="7"/>
  <c r="E136" i="7" s="1"/>
  <c r="B91" i="7"/>
  <c r="C91" i="7"/>
  <c r="L39" i="8" s="1"/>
  <c r="D28" i="7"/>
  <c r="E28" i="7" s="1"/>
  <c r="C94" i="7"/>
  <c r="B94" i="7"/>
  <c r="B45" i="7"/>
  <c r="C45" i="7"/>
  <c r="L16" i="8" s="1"/>
  <c r="B361" i="7"/>
  <c r="C361" i="7"/>
  <c r="Z78" i="8" s="1"/>
  <c r="B40" i="7"/>
  <c r="C40" i="7"/>
  <c r="D176" i="7"/>
  <c r="E176" i="7" s="1"/>
  <c r="E379" i="7"/>
  <c r="AA87" i="8" s="1"/>
  <c r="C307" i="7"/>
  <c r="Z51" i="8" s="1"/>
  <c r="B307" i="7"/>
  <c r="B230" i="7"/>
  <c r="C230" i="7"/>
  <c r="S13" i="8" s="1"/>
  <c r="C198" i="7"/>
  <c r="B198" i="7"/>
  <c r="B260" i="7"/>
  <c r="C260" i="7"/>
  <c r="S28" i="8" s="1"/>
  <c r="D368" i="7"/>
  <c r="B380" i="7"/>
  <c r="C380" i="7"/>
  <c r="S88" i="8" s="1"/>
  <c r="C73" i="7"/>
  <c r="L30" i="8" s="1"/>
  <c r="B73" i="7"/>
  <c r="C31" i="7"/>
  <c r="L9" i="8" s="1"/>
  <c r="B31" i="7"/>
  <c r="B134" i="7"/>
  <c r="C130" i="7"/>
  <c r="B130" i="7"/>
  <c r="C43" i="7"/>
  <c r="L15" i="8" s="1"/>
  <c r="B43" i="7"/>
  <c r="B27" i="7"/>
  <c r="C27" i="7"/>
  <c r="L7" i="8" s="1"/>
  <c r="C37" i="7"/>
  <c r="B329" i="7"/>
  <c r="B201" i="7"/>
  <c r="C388" i="7"/>
  <c r="S92" i="8" s="1"/>
  <c r="B388" i="7"/>
  <c r="B78" i="7"/>
  <c r="C78" i="7"/>
  <c r="C155" i="7"/>
  <c r="L71" i="8" s="1"/>
  <c r="B155" i="7"/>
  <c r="D214" i="7"/>
  <c r="E214" i="7" s="1"/>
  <c r="T5" i="8" s="1"/>
  <c r="D39" i="7"/>
  <c r="E39" i="7" s="1"/>
  <c r="M13" i="8" s="1"/>
  <c r="C142" i="7"/>
  <c r="B142" i="7"/>
  <c r="C376" i="7"/>
  <c r="S86" i="8" s="1"/>
  <c r="B376" i="7"/>
  <c r="C137" i="7"/>
  <c r="L62" i="8" s="1"/>
  <c r="B137" i="7"/>
  <c r="B232" i="7"/>
  <c r="C232" i="7"/>
  <c r="S14" i="8" s="1"/>
  <c r="C101" i="7"/>
  <c r="L44" i="8" s="1"/>
  <c r="B101" i="7"/>
  <c r="C85" i="7"/>
  <c r="L36" i="8" s="1"/>
  <c r="B85" i="7"/>
  <c r="C371" i="7"/>
  <c r="Z83" i="8" s="1"/>
  <c r="B371" i="7"/>
  <c r="Z95" i="8"/>
  <c r="D395" i="7"/>
  <c r="E395" i="7" s="1"/>
  <c r="AA95" i="8" s="1"/>
  <c r="B105" i="7"/>
  <c r="C105" i="7"/>
  <c r="L46" i="8" s="1"/>
  <c r="B357" i="7"/>
  <c r="C357" i="7"/>
  <c r="Z76" i="8" s="1"/>
  <c r="B266" i="7"/>
  <c r="C266" i="7"/>
  <c r="S31" i="8" s="1"/>
  <c r="B323" i="7"/>
  <c r="C323" i="7"/>
  <c r="Z59" i="8" s="1"/>
  <c r="B252" i="7"/>
  <c r="C252" i="7"/>
  <c r="S24" i="8" s="1"/>
  <c r="D129" i="7"/>
  <c r="C81" i="7"/>
  <c r="L34" i="8" s="1"/>
  <c r="B81" i="7"/>
  <c r="C325" i="7"/>
  <c r="Z60" i="8" s="1"/>
  <c r="B325" i="7"/>
  <c r="B109" i="7"/>
  <c r="C109" i="7"/>
  <c r="L48" i="8" s="1"/>
  <c r="C332" i="7"/>
  <c r="S64" i="8" s="1"/>
  <c r="B332" i="7"/>
  <c r="C316" i="7"/>
  <c r="S56" i="8" s="1"/>
  <c r="B316" i="7"/>
  <c r="B83" i="7"/>
  <c r="C83" i="7"/>
  <c r="L35" i="8" s="1"/>
  <c r="C138" i="7"/>
  <c r="B138" i="7"/>
  <c r="D334" i="7"/>
  <c r="E334" i="7" s="1"/>
  <c r="T65" i="8" s="1"/>
  <c r="C245" i="7"/>
  <c r="Z20" i="8" s="1"/>
  <c r="B245" i="7"/>
  <c r="C145" i="7"/>
  <c r="L66" i="8" s="1"/>
  <c r="B145" i="7"/>
  <c r="D199" i="7"/>
  <c r="C113" i="7"/>
  <c r="L50" i="8" s="1"/>
  <c r="B113" i="7"/>
  <c r="B237" i="7"/>
  <c r="C237" i="7"/>
  <c r="Z16" i="8" s="1"/>
  <c r="B365" i="7"/>
  <c r="C365" i="7"/>
  <c r="Z80" i="8" s="1"/>
  <c r="C314" i="7"/>
  <c r="D385" i="7"/>
  <c r="E385" i="7" s="1"/>
  <c r="AA90" i="8" s="1"/>
  <c r="D389" i="7"/>
  <c r="E389" i="7" s="1"/>
  <c r="AA92" i="8" s="1"/>
  <c r="D239" i="7"/>
  <c r="E239" i="7" s="1"/>
  <c r="AA17" i="8" s="1"/>
  <c r="C324" i="7"/>
  <c r="S60" i="8" s="1"/>
  <c r="B324" i="7"/>
  <c r="B308" i="7"/>
  <c r="C308" i="7"/>
  <c r="S52" i="8" s="1"/>
  <c r="D163" i="7"/>
  <c r="E163" i="7" s="1"/>
  <c r="M75" i="8" s="1"/>
  <c r="D147" i="7"/>
  <c r="E147" i="7" s="1"/>
  <c r="M67" i="8" s="1"/>
  <c r="B70" i="7"/>
  <c r="C70" i="7"/>
  <c r="C169" i="7"/>
  <c r="L78" i="8" s="1"/>
  <c r="B169" i="7"/>
  <c r="C118" i="7"/>
  <c r="B118" i="7"/>
  <c r="C62" i="7"/>
  <c r="B62" i="7"/>
  <c r="B121" i="7"/>
  <c r="C121" i="7"/>
  <c r="L54" i="8" s="1"/>
  <c r="D47" i="7"/>
  <c r="E47" i="7" s="1"/>
  <c r="M17" i="8" s="1"/>
  <c r="E342" i="7"/>
  <c r="T69" i="8" s="1"/>
  <c r="D342" i="7"/>
  <c r="D228" i="7"/>
  <c r="E228" i="7" s="1"/>
  <c r="T12" i="8" s="1"/>
  <c r="B65" i="7"/>
  <c r="C65" i="7"/>
  <c r="L26" i="8" s="1"/>
  <c r="C36" i="7"/>
  <c r="B36" i="7"/>
  <c r="B233" i="7"/>
  <c r="C233" i="7"/>
  <c r="Z14" i="8" s="1"/>
  <c r="B223" i="7"/>
  <c r="C223" i="7"/>
  <c r="Z9" i="8" s="1"/>
  <c r="C229" i="7"/>
  <c r="Z12" i="8" s="1"/>
  <c r="B229" i="7"/>
  <c r="D22" i="7"/>
  <c r="E22" i="7" s="1"/>
  <c r="C282" i="7"/>
  <c r="S39" i="8" s="1"/>
  <c r="B282" i="7"/>
  <c r="C265" i="7"/>
  <c r="Z30" i="8" s="1"/>
  <c r="B265" i="7"/>
  <c r="B135" i="7"/>
  <c r="C135" i="7"/>
  <c r="L61" i="8" s="1"/>
  <c r="C92" i="7"/>
  <c r="B92" i="7"/>
  <c r="D153" i="7"/>
  <c r="B42" i="7"/>
  <c r="C42" i="7"/>
  <c r="B246" i="7"/>
  <c r="C246" i="7"/>
  <c r="S21" i="8" s="1"/>
  <c r="B377" i="7"/>
  <c r="C377" i="7"/>
  <c r="Z86" i="8" s="1"/>
  <c r="D341" i="7"/>
  <c r="E341" i="7"/>
  <c r="AA68" i="8" s="1"/>
  <c r="D18" i="7"/>
  <c r="E18" i="7" s="1"/>
  <c r="C390" i="7"/>
  <c r="S93" i="8" s="1"/>
  <c r="B390" i="7"/>
  <c r="B19" i="7"/>
  <c r="C19" i="7"/>
  <c r="L3" i="8" s="1"/>
  <c r="B54" i="7"/>
  <c r="C54" i="7"/>
  <c r="B369" i="7"/>
  <c r="C369" i="7"/>
  <c r="Z82" i="8" s="1"/>
  <c r="C279" i="7"/>
  <c r="Z37" i="8" s="1"/>
  <c r="B279" i="7"/>
  <c r="B220" i="7"/>
  <c r="C220" i="7"/>
  <c r="S8" i="8" s="1"/>
  <c r="C111" i="7"/>
  <c r="L49" i="8" s="1"/>
  <c r="B111" i="7"/>
  <c r="B222" i="7"/>
  <c r="C222" i="7"/>
  <c r="S9" i="8" s="1"/>
  <c r="B345" i="7"/>
  <c r="C345" i="7"/>
  <c r="Z70" i="8" s="1"/>
  <c r="B263" i="7"/>
  <c r="C263" i="7"/>
  <c r="Z29" i="8" s="1"/>
  <c r="C294" i="7"/>
  <c r="S45" i="8" s="1"/>
  <c r="B294" i="7"/>
  <c r="B346" i="7"/>
  <c r="C346" i="7"/>
  <c r="S71" i="8" s="1"/>
  <c r="B234" i="7"/>
  <c r="C234" i="7"/>
  <c r="S15" i="8" s="1"/>
  <c r="C108" i="7"/>
  <c r="B108" i="7"/>
  <c r="D148" i="7"/>
  <c r="D248" i="7"/>
  <c r="E248" i="7" s="1"/>
  <c r="T22" i="8" s="1"/>
  <c r="D329" i="7"/>
  <c r="E329" i="7" s="1"/>
  <c r="AA62" i="8" s="1"/>
  <c r="B258" i="7"/>
  <c r="B150" i="7"/>
  <c r="D250" i="7"/>
  <c r="E250" i="7" s="1"/>
  <c r="T23" i="8" s="1"/>
  <c r="C291" i="7"/>
  <c r="Z43" i="8" s="1"/>
  <c r="B291" i="7"/>
  <c r="C298" i="7"/>
  <c r="S47" i="8" s="1"/>
  <c r="B298" i="7"/>
  <c r="C84" i="7"/>
  <c r="B84" i="7"/>
  <c r="B351" i="7"/>
  <c r="C351" i="7"/>
  <c r="Z73" i="8" s="1"/>
  <c r="D191" i="7"/>
  <c r="E191" i="7" s="1"/>
  <c r="M89" i="8" s="1"/>
  <c r="B157" i="7"/>
  <c r="C157" i="7"/>
  <c r="L72" i="8" s="1"/>
  <c r="C49" i="7"/>
  <c r="L18" i="8" s="1"/>
  <c r="B49" i="7"/>
  <c r="D156" i="7"/>
  <c r="E156" i="7" s="1"/>
  <c r="D370" i="7"/>
  <c r="B235" i="7"/>
  <c r="C235" i="7"/>
  <c r="Z15" i="8" s="1"/>
  <c r="B326" i="7"/>
  <c r="C326" i="7"/>
  <c r="S61" i="8" s="1"/>
  <c r="D122" i="7"/>
  <c r="C386" i="7"/>
  <c r="S91" i="8" s="1"/>
  <c r="B386" i="7"/>
  <c r="B60" i="7"/>
  <c r="C60" i="7"/>
  <c r="B80" i="7"/>
  <c r="C80" i="7"/>
  <c r="B34" i="7"/>
  <c r="C34" i="7"/>
  <c r="D120" i="7"/>
  <c r="E120" i="7" s="1"/>
  <c r="D29" i="7"/>
  <c r="E29" i="7" s="1"/>
  <c r="M8" i="8" s="1"/>
  <c r="D205" i="7"/>
  <c r="D231" i="7"/>
  <c r="E231" i="7" s="1"/>
  <c r="AA13" i="8" s="1"/>
  <c r="D182" i="7"/>
  <c r="D33" i="7"/>
  <c r="D69" i="7"/>
  <c r="C254" i="7"/>
  <c r="S25" i="8" s="1"/>
  <c r="B254" i="7"/>
  <c r="B71" i="7"/>
  <c r="C71" i="7"/>
  <c r="L29" i="8" s="1"/>
  <c r="C178" i="7"/>
  <c r="B178" i="7"/>
  <c r="B270" i="7"/>
  <c r="C270" i="7"/>
  <c r="S33" i="8" s="1"/>
  <c r="B213" i="7"/>
  <c r="C213" i="7"/>
  <c r="Z4" i="8" s="1"/>
  <c r="C151" i="7"/>
  <c r="L69" i="8" s="1"/>
  <c r="B151" i="7"/>
  <c r="D344" i="7"/>
  <c r="E344" i="7" s="1"/>
  <c r="T70" i="8" s="1"/>
  <c r="C362" i="7"/>
  <c r="S79" i="8" s="1"/>
  <c r="B362" i="7"/>
  <c r="Z89" i="8"/>
  <c r="D383" i="7"/>
  <c r="C189" i="7"/>
  <c r="L88" i="8" s="1"/>
  <c r="B189" i="7"/>
  <c r="B211" i="7"/>
  <c r="C211" i="7"/>
  <c r="Z3" i="8" s="1"/>
  <c r="B210" i="7"/>
  <c r="C210" i="7"/>
  <c r="S3" i="8" s="1"/>
  <c r="B278" i="7"/>
  <c r="C278" i="7"/>
  <c r="S37" i="8" s="1"/>
  <c r="C381" i="7"/>
  <c r="B381" i="7"/>
  <c r="B283" i="7"/>
  <c r="C283" i="7"/>
  <c r="Z39" i="8" s="1"/>
  <c r="C358" i="7"/>
  <c r="S77" i="8" s="1"/>
  <c r="B358" i="7"/>
  <c r="D106" i="7"/>
  <c r="B76" i="7"/>
  <c r="C76" i="7"/>
  <c r="B319" i="7"/>
  <c r="C319" i="7"/>
  <c r="Z57" i="8" s="1"/>
  <c r="B280" i="7"/>
  <c r="C280" i="7"/>
  <c r="S38" i="8" s="1"/>
  <c r="B209" i="7"/>
  <c r="C209" i="7"/>
  <c r="L98" i="8" s="1"/>
  <c r="B66" i="7"/>
  <c r="C66" i="7"/>
  <c r="B227" i="7"/>
  <c r="C227" i="7"/>
  <c r="Z11" i="8" s="1"/>
  <c r="C310" i="7"/>
  <c r="S53" i="8" s="1"/>
  <c r="B310" i="7"/>
  <c r="D392" i="7"/>
  <c r="E392" i="7" s="1"/>
  <c r="T94" i="8" s="1"/>
  <c r="D258" i="7"/>
  <c r="E258" i="7" s="1"/>
  <c r="T27" i="8" s="1"/>
  <c r="D41" i="7"/>
  <c r="C267" i="7"/>
  <c r="Z31" i="8" s="1"/>
  <c r="B267" i="7"/>
  <c r="C143" i="7"/>
  <c r="L65" i="8" s="1"/>
  <c r="B143" i="7"/>
  <c r="D202" i="7"/>
  <c r="E202" i="7" s="1"/>
  <c r="F95" i="8" s="1"/>
  <c r="D104" i="7"/>
  <c r="E104" i="7" s="1"/>
  <c r="B119" i="7"/>
  <c r="C119" i="7"/>
  <c r="L53" i="8" s="1"/>
  <c r="B23" i="7"/>
  <c r="C23" i="7"/>
  <c r="L5" i="8" s="1"/>
  <c r="C243" i="7"/>
  <c r="Z19" i="8" s="1"/>
  <c r="B243" i="7"/>
  <c r="C158" i="7"/>
  <c r="B158" i="7"/>
  <c r="C305" i="7"/>
  <c r="Z50" i="8" s="1"/>
  <c r="B305" i="7"/>
  <c r="C72" i="7"/>
  <c r="B72" i="7"/>
  <c r="B287" i="7"/>
  <c r="C287" i="7"/>
  <c r="Z41" i="8" s="1"/>
  <c r="B215" i="7"/>
  <c r="C215" i="7"/>
  <c r="Z5" i="8" s="1"/>
  <c r="D226" i="7"/>
  <c r="B99" i="7"/>
  <c r="C99" i="7"/>
  <c r="L43" i="8" s="1"/>
  <c r="D150" i="7"/>
  <c r="B373" i="7"/>
  <c r="C373" i="7"/>
  <c r="Z84" i="8" s="1"/>
  <c r="D134" i="7"/>
  <c r="B335" i="7"/>
  <c r="C335" i="7"/>
  <c r="Z65" i="8" s="1"/>
  <c r="B180" i="7"/>
  <c r="C180" i="7"/>
  <c r="C398" i="7"/>
  <c r="S97" i="8" s="1"/>
  <c r="B398" i="7"/>
  <c r="C375" i="7"/>
  <c r="Z85" i="8" s="1"/>
  <c r="B375" i="7"/>
  <c r="D35" i="7"/>
  <c r="E35" i="7" s="1"/>
  <c r="M11" i="8" s="1"/>
  <c r="B315" i="7"/>
  <c r="C315" i="7"/>
  <c r="Z55" i="8" s="1"/>
  <c r="C162" i="7"/>
  <c r="B162" i="7"/>
  <c r="D391" i="7"/>
  <c r="E391" i="7" s="1"/>
  <c r="AA93" i="8" s="1"/>
  <c r="Z93" i="8"/>
  <c r="B255" i="7"/>
  <c r="C255" i="7"/>
  <c r="Z25" i="8" s="1"/>
  <c r="D133" i="7"/>
  <c r="C204" i="7"/>
  <c r="E96" i="8" s="1"/>
  <c r="B204" i="7"/>
  <c r="B192" i="7"/>
  <c r="C192" i="7"/>
  <c r="D175" i="7"/>
  <c r="E175" i="7" s="1"/>
  <c r="M81" i="8" s="1"/>
  <c r="B218" i="7"/>
  <c r="C218" i="7"/>
  <c r="S7" i="8" s="1"/>
  <c r="B290" i="7"/>
  <c r="C290" i="7"/>
  <c r="S43" i="8" s="1"/>
  <c r="C67" i="7"/>
  <c r="L27" i="8" s="1"/>
  <c r="B67" i="7"/>
  <c r="C132" i="7"/>
  <c r="B132" i="7"/>
  <c r="A38" i="4" l="1"/>
  <c r="A62" i="4" s="1"/>
  <c r="A86" i="4" s="1"/>
  <c r="A110" i="4" s="1"/>
  <c r="A134" i="4" s="1"/>
  <c r="A158" i="4" s="1"/>
  <c r="A182" i="4" s="1"/>
  <c r="A206" i="4" s="1"/>
  <c r="A230" i="4" s="1"/>
  <c r="A254" i="4" s="1"/>
  <c r="A278" i="4" s="1"/>
  <c r="A302" i="4" s="1"/>
  <c r="A326" i="4" s="1"/>
  <c r="A350" i="4" s="1"/>
  <c r="A374" i="4" s="1"/>
  <c r="A15" i="4"/>
  <c r="E41" i="7"/>
  <c r="M14" i="8" s="1"/>
  <c r="E96" i="7"/>
  <c r="E193" i="7"/>
  <c r="M90" i="8" s="1"/>
  <c r="E226" i="7"/>
  <c r="T11" i="8" s="1"/>
  <c r="E51" i="7"/>
  <c r="M19" i="8" s="1"/>
  <c r="E262" i="7"/>
  <c r="T29" i="8" s="1"/>
  <c r="E350" i="7"/>
  <c r="T73" i="8" s="1"/>
  <c r="E195" i="7"/>
  <c r="M91" i="8" s="1"/>
  <c r="E33" i="7"/>
  <c r="M10" i="8" s="1"/>
  <c r="E370" i="7"/>
  <c r="T83" i="8" s="1"/>
  <c r="E139" i="7"/>
  <c r="M63" i="8" s="1"/>
  <c r="Z69" i="8"/>
  <c r="E285" i="7"/>
  <c r="AA40" i="8" s="1"/>
  <c r="Z40" i="8"/>
  <c r="E127" i="7"/>
  <c r="M57" i="8" s="1"/>
  <c r="Z18" i="8"/>
  <c r="E153" i="7"/>
  <c r="M70" i="8" s="1"/>
  <c r="E368" i="7"/>
  <c r="T82" i="8" s="1"/>
  <c r="E57" i="7"/>
  <c r="M22" i="8" s="1"/>
  <c r="D355" i="7"/>
  <c r="E355" i="7" s="1"/>
  <c r="AA75" i="8" s="1"/>
  <c r="Z75" i="8"/>
  <c r="Z79" i="8"/>
  <c r="E293" i="7"/>
  <c r="AA44" i="8" s="1"/>
  <c r="Z44" i="8"/>
  <c r="Z48" i="8"/>
  <c r="E292" i="7"/>
  <c r="T44" i="8" s="1"/>
  <c r="E183" i="7"/>
  <c r="M85" i="8" s="1"/>
  <c r="D275" i="7"/>
  <c r="Z35" i="8"/>
  <c r="D327" i="7"/>
  <c r="Z61" i="8"/>
  <c r="D273" i="7"/>
  <c r="E273" i="7" s="1"/>
  <c r="AA34" i="8" s="1"/>
  <c r="Z34" i="8"/>
  <c r="E203" i="7"/>
  <c r="M95" i="8" s="1"/>
  <c r="E201" i="7"/>
  <c r="M94" i="8" s="1"/>
  <c r="Z7" i="8"/>
  <c r="D311" i="7"/>
  <c r="E311" i="7" s="1"/>
  <c r="AA53" i="8" s="1"/>
  <c r="Z53" i="8"/>
  <c r="E374" i="7"/>
  <c r="T85" i="8" s="1"/>
  <c r="E133" i="7"/>
  <c r="M60" i="8" s="1"/>
  <c r="E330" i="7"/>
  <c r="T63" i="8" s="1"/>
  <c r="D269" i="7"/>
  <c r="Z32" i="8"/>
  <c r="Z28" i="8"/>
  <c r="E321" i="7"/>
  <c r="AA58" i="8" s="1"/>
  <c r="Z58" i="8"/>
  <c r="D289" i="7"/>
  <c r="Z42" i="8"/>
  <c r="S75" i="8"/>
  <c r="D378" i="7"/>
  <c r="E378" i="7" s="1"/>
  <c r="T87" i="8" s="1"/>
  <c r="S87" i="8"/>
  <c r="E205" i="7"/>
  <c r="M96" i="8" s="1"/>
  <c r="D366" i="7"/>
  <c r="E366" i="7" s="1"/>
  <c r="T81" i="8" s="1"/>
  <c r="S81" i="8"/>
  <c r="D276" i="7"/>
  <c r="E276" i="7" s="1"/>
  <c r="T36" i="8" s="1"/>
  <c r="S36" i="8"/>
  <c r="D384" i="7"/>
  <c r="E384" i="7" s="1"/>
  <c r="T90" i="8" s="1"/>
  <c r="S90" i="8"/>
  <c r="E199" i="7"/>
  <c r="M93" i="8" s="1"/>
  <c r="E75" i="7"/>
  <c r="M31" i="8" s="1"/>
  <c r="E125" i="7"/>
  <c r="M56" i="8" s="1"/>
  <c r="E150" i="7"/>
  <c r="E69" i="7"/>
  <c r="M28" i="8" s="1"/>
  <c r="D314" i="7"/>
  <c r="E314" i="7" s="1"/>
  <c r="T55" i="8" s="1"/>
  <c r="S55" i="8"/>
  <c r="E129" i="7"/>
  <c r="M58" i="8" s="1"/>
  <c r="S62" i="8"/>
  <c r="D238" i="7"/>
  <c r="S17" i="8"/>
  <c r="S48" i="8"/>
  <c r="D61" i="7"/>
  <c r="E61" i="7" s="1"/>
  <c r="M24" i="8" s="1"/>
  <c r="L24" i="8"/>
  <c r="D161" i="7"/>
  <c r="E161" i="7" s="1"/>
  <c r="M74" i="8" s="1"/>
  <c r="L74" i="8"/>
  <c r="L37" i="8"/>
  <c r="D173" i="7"/>
  <c r="E173" i="7" s="1"/>
  <c r="M80" i="8" s="1"/>
  <c r="L80" i="8"/>
  <c r="L42" i="8"/>
  <c r="L52" i="8"/>
  <c r="E37" i="7"/>
  <c r="M12" i="8" s="1"/>
  <c r="L12" i="8"/>
  <c r="D77" i="7"/>
  <c r="E77" i="7" s="1"/>
  <c r="M32" i="8" s="1"/>
  <c r="L32" i="8"/>
  <c r="L21" i="8"/>
  <c r="D149" i="7"/>
  <c r="E149" i="7" s="1"/>
  <c r="M68" i="8" s="1"/>
  <c r="L68" i="8"/>
  <c r="D21" i="7"/>
  <c r="E21" i="7" s="1"/>
  <c r="M4" i="8" s="1"/>
  <c r="L4" i="8"/>
  <c r="E122" i="7"/>
  <c r="E289" i="7"/>
  <c r="AA42" i="8" s="1"/>
  <c r="E148" i="7"/>
  <c r="E134" i="7"/>
  <c r="E64" i="7"/>
  <c r="E383" i="7"/>
  <c r="AA89" i="8" s="1"/>
  <c r="E182" i="7"/>
  <c r="E110" i="7"/>
  <c r="E106" i="7"/>
  <c r="D68" i="7"/>
  <c r="E68" i="7" s="1"/>
  <c r="E97" i="8"/>
  <c r="D154" i="7"/>
  <c r="E154" i="7" s="1"/>
  <c r="D172" i="7"/>
  <c r="E172" i="7" s="1"/>
  <c r="D184" i="7"/>
  <c r="E184" i="7" s="1"/>
  <c r="D168" i="7"/>
  <c r="E168" i="7" s="1"/>
  <c r="D164" i="7"/>
  <c r="E164" i="7" s="1"/>
  <c r="D196" i="7"/>
  <c r="E196" i="7" s="1"/>
  <c r="D140" i="7"/>
  <c r="E140" i="7" s="1"/>
  <c r="D90" i="7"/>
  <c r="E90" i="7" s="1"/>
  <c r="E56" i="7"/>
  <c r="D300" i="7"/>
  <c r="E300" i="7" s="1"/>
  <c r="T48" i="8" s="1"/>
  <c r="D241" i="7"/>
  <c r="E241" i="7" s="1"/>
  <c r="AA18" i="8" s="1"/>
  <c r="D321" i="7"/>
  <c r="E238" i="7"/>
  <c r="T17" i="8" s="1"/>
  <c r="D87" i="7"/>
  <c r="E87" i="7" s="1"/>
  <c r="M37" i="8" s="1"/>
  <c r="E327" i="7"/>
  <c r="AA61" i="8" s="1"/>
  <c r="D328" i="7"/>
  <c r="E328" i="7" s="1"/>
  <c r="T62" i="8" s="1"/>
  <c r="D52" i="7"/>
  <c r="E52" i="7" s="1"/>
  <c r="D354" i="7"/>
  <c r="E354" i="7" s="1"/>
  <c r="T75" i="8" s="1"/>
  <c r="D117" i="7"/>
  <c r="E117" i="7" s="1"/>
  <c r="M52" i="8" s="1"/>
  <c r="D285" i="7"/>
  <c r="D261" i="7"/>
  <c r="E261" i="7" s="1"/>
  <c r="AA28" i="8" s="1"/>
  <c r="E275" i="7"/>
  <c r="AA35" i="8" s="1"/>
  <c r="D293" i="7"/>
  <c r="D206" i="7"/>
  <c r="E206" i="7" s="1"/>
  <c r="F97" i="8" s="1"/>
  <c r="D112" i="7"/>
  <c r="E112" i="7" s="1"/>
  <c r="D174" i="7"/>
  <c r="E174" i="7" s="1"/>
  <c r="D59" i="7"/>
  <c r="E59" i="7" s="1"/>
  <c r="M23" i="8" s="1"/>
  <c r="D219" i="7"/>
  <c r="E219" i="7" s="1"/>
  <c r="AA7" i="8" s="1"/>
  <c r="E269" i="7"/>
  <c r="AA32" i="8" s="1"/>
  <c r="D343" i="7"/>
  <c r="E343" i="7" s="1"/>
  <c r="AA69" i="8" s="1"/>
  <c r="D160" i="7"/>
  <c r="E160" i="7" s="1"/>
  <c r="D301" i="7"/>
  <c r="E301" i="7" s="1"/>
  <c r="AA48" i="8" s="1"/>
  <c r="D363" i="7"/>
  <c r="E363" i="7" s="1"/>
  <c r="AA79" i="8" s="1"/>
  <c r="D165" i="7"/>
  <c r="E165" i="7" s="1"/>
  <c r="M76" i="8" s="1"/>
  <c r="D55" i="7"/>
  <c r="E55" i="7" s="1"/>
  <c r="M21" i="8" s="1"/>
  <c r="D86" i="7"/>
  <c r="E86" i="7" s="1"/>
  <c r="D322" i="7"/>
  <c r="E322" i="7" s="1"/>
  <c r="T59" i="8" s="1"/>
  <c r="D236" i="7"/>
  <c r="E236" i="7" s="1"/>
  <c r="T16" i="8" s="1"/>
  <c r="D253" i="7"/>
  <c r="E253" i="7" s="1"/>
  <c r="AA24" i="8" s="1"/>
  <c r="D97" i="7"/>
  <c r="E97" i="7" s="1"/>
  <c r="M42" i="8" s="1"/>
  <c r="D20" i="7"/>
  <c r="E20" i="7" s="1"/>
  <c r="D382" i="7"/>
  <c r="E382" i="7" s="1"/>
  <c r="T89" i="8" s="1"/>
  <c r="D244" i="7"/>
  <c r="E244" i="7" s="1"/>
  <c r="T20" i="8" s="1"/>
  <c r="D224" i="7"/>
  <c r="E224" i="7" s="1"/>
  <c r="T10" i="8" s="1"/>
  <c r="D50" i="7"/>
  <c r="E50" i="7" s="1"/>
  <c r="D400" i="7"/>
  <c r="E400" i="7" s="1"/>
  <c r="T98" i="8" s="1"/>
  <c r="D190" i="7"/>
  <c r="E190" i="7" s="1"/>
  <c r="D338" i="7"/>
  <c r="E338" i="7" s="1"/>
  <c r="T67" i="8" s="1"/>
  <c r="D177" i="7"/>
  <c r="E177" i="7" s="1"/>
  <c r="M82" i="8" s="1"/>
  <c r="D82" i="7"/>
  <c r="E82" i="7" s="1"/>
  <c r="D303" i="7"/>
  <c r="E303" i="7" s="1"/>
  <c r="AA49" i="8" s="1"/>
  <c r="D53" i="7"/>
  <c r="E53" i="7" s="1"/>
  <c r="M20" i="8" s="1"/>
  <c r="D320" i="7"/>
  <c r="E320" i="7" s="1"/>
  <c r="T58" i="8" s="1"/>
  <c r="D286" i="7"/>
  <c r="E286" i="7" s="1"/>
  <c r="T41" i="8" s="1"/>
  <c r="D89" i="7"/>
  <c r="E89" i="7" s="1"/>
  <c r="M38" i="8" s="1"/>
  <c r="D360" i="7"/>
  <c r="E360" i="7" s="1"/>
  <c r="T78" i="8" s="1"/>
  <c r="D309" i="7"/>
  <c r="E309" i="7" s="1"/>
  <c r="AA52" i="8" s="1"/>
  <c r="E225" i="7"/>
  <c r="AA10" i="8" s="1"/>
  <c r="D225" i="7"/>
  <c r="D88" i="7"/>
  <c r="E88" i="7" s="1"/>
  <c r="D103" i="7"/>
  <c r="E103" i="7" s="1"/>
  <c r="M45" i="8" s="1"/>
  <c r="D93" i="7"/>
  <c r="E93" i="7" s="1"/>
  <c r="M40" i="8" s="1"/>
  <c r="D288" i="7"/>
  <c r="E288" i="7" s="1"/>
  <c r="T42" i="8" s="1"/>
  <c r="D336" i="7"/>
  <c r="E336" i="7" s="1"/>
  <c r="T66" i="8" s="1"/>
  <c r="D337" i="7"/>
  <c r="E337" i="7" s="1"/>
  <c r="AA66" i="8" s="1"/>
  <c r="D356" i="7"/>
  <c r="E356" i="7" s="1"/>
  <c r="T76" i="8" s="1"/>
  <c r="D141" i="7"/>
  <c r="E141" i="7" s="1"/>
  <c r="M64" i="8" s="1"/>
  <c r="D307" i="7"/>
  <c r="E307" i="7"/>
  <c r="AA51" i="8" s="1"/>
  <c r="D45" i="7"/>
  <c r="E45" i="7" s="1"/>
  <c r="M16" i="8" s="1"/>
  <c r="D24" i="7"/>
  <c r="E24" i="7" s="1"/>
  <c r="D208" i="7"/>
  <c r="E208" i="7" s="1"/>
  <c r="F98" i="8" s="1"/>
  <c r="D299" i="7"/>
  <c r="E299" i="7"/>
  <c r="AA47" i="8" s="1"/>
  <c r="D37" i="7"/>
  <c r="D230" i="7"/>
  <c r="E230" i="7"/>
  <c r="T13" i="8" s="1"/>
  <c r="D297" i="7"/>
  <c r="E297" i="7" s="1"/>
  <c r="AA46" i="8" s="1"/>
  <c r="D58" i="7"/>
  <c r="E58" i="7" s="1"/>
  <c r="D295" i="7"/>
  <c r="E295" i="7" s="1"/>
  <c r="AA45" i="8" s="1"/>
  <c r="D198" i="7"/>
  <c r="E198" i="7" s="1"/>
  <c r="D40" i="7"/>
  <c r="E40" i="7" s="1"/>
  <c r="D361" i="7"/>
  <c r="E361" i="7" s="1"/>
  <c r="AA78" i="8" s="1"/>
  <c r="D91" i="7"/>
  <c r="E91" i="7" s="1"/>
  <c r="M39" i="8" s="1"/>
  <c r="D74" i="7"/>
  <c r="E74" i="7" s="1"/>
  <c r="D98" i="7"/>
  <c r="E98" i="7" s="1"/>
  <c r="D260" i="7"/>
  <c r="E260" i="7" s="1"/>
  <c r="T28" i="8" s="1"/>
  <c r="D94" i="7"/>
  <c r="E94" i="7" s="1"/>
  <c r="D102" i="7"/>
  <c r="E102" i="7" s="1"/>
  <c r="D359" i="7"/>
  <c r="E359" i="7" s="1"/>
  <c r="AA77" i="8" s="1"/>
  <c r="D146" i="7"/>
  <c r="E146" i="7" s="1"/>
  <c r="D25" i="7"/>
  <c r="E25" i="7" s="1"/>
  <c r="M6" i="8" s="1"/>
  <c r="D109" i="7"/>
  <c r="E109" i="7" s="1"/>
  <c r="M48" i="8" s="1"/>
  <c r="E323" i="7"/>
  <c r="AA59" i="8" s="1"/>
  <c r="D323" i="7"/>
  <c r="D357" i="7"/>
  <c r="E357" i="7" s="1"/>
  <c r="AA76" i="8" s="1"/>
  <c r="D145" i="7"/>
  <c r="E145" i="7" s="1"/>
  <c r="M66" i="8" s="1"/>
  <c r="D316" i="7"/>
  <c r="E316" i="7" s="1"/>
  <c r="T56" i="8" s="1"/>
  <c r="D81" i="7"/>
  <c r="E81" i="7" s="1"/>
  <c r="M34" i="8" s="1"/>
  <c r="D85" i="7"/>
  <c r="E85" i="7" s="1"/>
  <c r="M36" i="8" s="1"/>
  <c r="D376" i="7"/>
  <c r="E376" i="7" s="1"/>
  <c r="T86" i="8" s="1"/>
  <c r="D155" i="7"/>
  <c r="E155" i="7" s="1"/>
  <c r="M71" i="8" s="1"/>
  <c r="D223" i="7"/>
  <c r="E223" i="7" s="1"/>
  <c r="AA9" i="8" s="1"/>
  <c r="D65" i="7"/>
  <c r="E65" i="7" s="1"/>
  <c r="M26" i="8" s="1"/>
  <c r="D121" i="7"/>
  <c r="E121" i="7" s="1"/>
  <c r="M54" i="8" s="1"/>
  <c r="D70" i="7"/>
  <c r="E70" i="7" s="1"/>
  <c r="D237" i="7"/>
  <c r="E237" i="7" s="1"/>
  <c r="AA16" i="8" s="1"/>
  <c r="D83" i="7"/>
  <c r="E83" i="7" s="1"/>
  <c r="M35" i="8" s="1"/>
  <c r="D252" i="7"/>
  <c r="E252" i="7" s="1"/>
  <c r="T24" i="8" s="1"/>
  <c r="D266" i="7"/>
  <c r="E266" i="7" s="1"/>
  <c r="T31" i="8" s="1"/>
  <c r="D105" i="7"/>
  <c r="E105" i="7" s="1"/>
  <c r="M46" i="8" s="1"/>
  <c r="D78" i="7"/>
  <c r="E78" i="7" s="1"/>
  <c r="D130" i="7"/>
  <c r="E130" i="7" s="1"/>
  <c r="D380" i="7"/>
  <c r="E380" i="7" s="1"/>
  <c r="T88" i="8" s="1"/>
  <c r="D233" i="7"/>
  <c r="E233" i="7" s="1"/>
  <c r="AA14" i="8" s="1"/>
  <c r="D308" i="7"/>
  <c r="E308" i="7" s="1"/>
  <c r="T52" i="8" s="1"/>
  <c r="D365" i="7"/>
  <c r="E365" i="7" s="1"/>
  <c r="AA80" i="8" s="1"/>
  <c r="D232" i="7"/>
  <c r="E232" i="7" s="1"/>
  <c r="T14" i="8" s="1"/>
  <c r="D43" i="7"/>
  <c r="E43" i="7" s="1"/>
  <c r="M15" i="8" s="1"/>
  <c r="D229" i="7"/>
  <c r="E229" i="7" s="1"/>
  <c r="AA12" i="8" s="1"/>
  <c r="D62" i="7"/>
  <c r="E62" i="7" s="1"/>
  <c r="D169" i="7"/>
  <c r="E169" i="7" s="1"/>
  <c r="M78" i="8" s="1"/>
  <c r="D113" i="7"/>
  <c r="E113" i="7" s="1"/>
  <c r="M50" i="8" s="1"/>
  <c r="D138" i="7"/>
  <c r="E138" i="7" s="1"/>
  <c r="D388" i="7"/>
  <c r="E388" i="7" s="1"/>
  <c r="T92" i="8" s="1"/>
  <c r="D73" i="7"/>
  <c r="E73" i="7" s="1"/>
  <c r="M30" i="8" s="1"/>
  <c r="D36" i="7"/>
  <c r="E36" i="7" s="1"/>
  <c r="D118" i="7"/>
  <c r="E118" i="7" s="1"/>
  <c r="D324" i="7"/>
  <c r="E324" i="7" s="1"/>
  <c r="T60" i="8" s="1"/>
  <c r="E245" i="7"/>
  <c r="AA20" i="8" s="1"/>
  <c r="D245" i="7"/>
  <c r="D332" i="7"/>
  <c r="E332" i="7" s="1"/>
  <c r="T64" i="8" s="1"/>
  <c r="D325" i="7"/>
  <c r="E325" i="7"/>
  <c r="AA60" i="8" s="1"/>
  <c r="D371" i="7"/>
  <c r="E371" i="7" s="1"/>
  <c r="AA83" i="8" s="1"/>
  <c r="D101" i="7"/>
  <c r="E101" i="7" s="1"/>
  <c r="M44" i="8" s="1"/>
  <c r="D137" i="7"/>
  <c r="E137" i="7" s="1"/>
  <c r="M62" i="8" s="1"/>
  <c r="D142" i="7"/>
  <c r="E142" i="7" s="1"/>
  <c r="D27" i="7"/>
  <c r="E27" i="7" s="1"/>
  <c r="M7" i="8" s="1"/>
  <c r="D31" i="7"/>
  <c r="E31" i="7" s="1"/>
  <c r="M9" i="8" s="1"/>
  <c r="D66" i="7"/>
  <c r="E66" i="7" s="1"/>
  <c r="D319" i="7"/>
  <c r="E319" i="7"/>
  <c r="AA57" i="8" s="1"/>
  <c r="D283" i="7"/>
  <c r="E283" i="7" s="1"/>
  <c r="AA39" i="8" s="1"/>
  <c r="D278" i="7"/>
  <c r="E278" i="7" s="1"/>
  <c r="T37" i="8" s="1"/>
  <c r="D211" i="7"/>
  <c r="E211" i="7" s="1"/>
  <c r="AA3" i="8" s="1"/>
  <c r="D386" i="7"/>
  <c r="E386" i="7" s="1"/>
  <c r="T91" i="8" s="1"/>
  <c r="D298" i="7"/>
  <c r="E298" i="7"/>
  <c r="T47" i="8" s="1"/>
  <c r="E263" i="7"/>
  <c r="AA29" i="8" s="1"/>
  <c r="D263" i="7"/>
  <c r="D222" i="7"/>
  <c r="E222" i="7" s="1"/>
  <c r="T9" i="8" s="1"/>
  <c r="D369" i="7"/>
  <c r="E369" i="7" s="1"/>
  <c r="AA82" i="8" s="1"/>
  <c r="D42" i="7"/>
  <c r="E42" i="7" s="1"/>
  <c r="D34" i="7"/>
  <c r="E34" i="7" s="1"/>
  <c r="D235" i="7"/>
  <c r="E235" i="7" s="1"/>
  <c r="AA15" i="8" s="1"/>
  <c r="D157" i="7"/>
  <c r="E157" i="7" s="1"/>
  <c r="M72" i="8" s="1"/>
  <c r="D351" i="7"/>
  <c r="E351" i="7"/>
  <c r="AA73" i="8" s="1"/>
  <c r="D108" i="7"/>
  <c r="E108" i="7" s="1"/>
  <c r="D265" i="7"/>
  <c r="E265" i="7" s="1"/>
  <c r="AA30" i="8" s="1"/>
  <c r="D227" i="7"/>
  <c r="E227" i="7" s="1"/>
  <c r="AA11" i="8" s="1"/>
  <c r="D209" i="7"/>
  <c r="E209" i="7" s="1"/>
  <c r="M98" i="8" s="1"/>
  <c r="D76" i="7"/>
  <c r="E76" i="7" s="1"/>
  <c r="D210" i="7"/>
  <c r="E210" i="7" s="1"/>
  <c r="T3" i="8" s="1"/>
  <c r="D362" i="7"/>
  <c r="E362" i="7" s="1"/>
  <c r="T79" i="8" s="1"/>
  <c r="D151" i="7"/>
  <c r="E151" i="7" s="1"/>
  <c r="M69" i="8" s="1"/>
  <c r="D178" i="7"/>
  <c r="E178" i="7" s="1"/>
  <c r="D254" i="7"/>
  <c r="E254" i="7" s="1"/>
  <c r="T25" i="8" s="1"/>
  <c r="D291" i="7"/>
  <c r="E291" i="7"/>
  <c r="AA43" i="8" s="1"/>
  <c r="D234" i="7"/>
  <c r="E234" i="7" s="1"/>
  <c r="T15" i="8" s="1"/>
  <c r="D345" i="7"/>
  <c r="E345" i="7" s="1"/>
  <c r="AA70" i="8" s="1"/>
  <c r="D54" i="7"/>
  <c r="E54" i="7" s="1"/>
  <c r="D246" i="7"/>
  <c r="E246" i="7" s="1"/>
  <c r="T21" i="8" s="1"/>
  <c r="D135" i="7"/>
  <c r="E135" i="7" s="1"/>
  <c r="M61" i="8" s="1"/>
  <c r="D280" i="7"/>
  <c r="E280" i="7"/>
  <c r="T38" i="8" s="1"/>
  <c r="D49" i="7"/>
  <c r="E49" i="7" s="1"/>
  <c r="M18" i="8" s="1"/>
  <c r="D84" i="7"/>
  <c r="E84" i="7" s="1"/>
  <c r="D346" i="7"/>
  <c r="E346" i="7" s="1"/>
  <c r="T71" i="8" s="1"/>
  <c r="D220" i="7"/>
  <c r="E220" i="7" s="1"/>
  <c r="T8" i="8" s="1"/>
  <c r="D19" i="7"/>
  <c r="E19" i="7" s="1"/>
  <c r="M3" i="8" s="1"/>
  <c r="D377" i="7"/>
  <c r="E377" i="7" s="1"/>
  <c r="AA86" i="8" s="1"/>
  <c r="D60" i="7"/>
  <c r="E60" i="7" s="1"/>
  <c r="D92" i="7"/>
  <c r="E92" i="7" s="1"/>
  <c r="D310" i="7"/>
  <c r="E310" i="7" s="1"/>
  <c r="T53" i="8" s="1"/>
  <c r="D358" i="7"/>
  <c r="E358" i="7"/>
  <c r="T77" i="8" s="1"/>
  <c r="D381" i="7"/>
  <c r="E381" i="7" s="1"/>
  <c r="AA88" i="8" s="1"/>
  <c r="Z88" i="8"/>
  <c r="D189" i="7"/>
  <c r="E189" i="7" s="1"/>
  <c r="M88" i="8" s="1"/>
  <c r="D213" i="7"/>
  <c r="E213" i="7"/>
  <c r="AA4" i="8" s="1"/>
  <c r="D270" i="7"/>
  <c r="E270" i="7" s="1"/>
  <c r="T33" i="8" s="1"/>
  <c r="D71" i="7"/>
  <c r="E71" i="7"/>
  <c r="M29" i="8" s="1"/>
  <c r="D80" i="7"/>
  <c r="E80" i="7" s="1"/>
  <c r="D326" i="7"/>
  <c r="E326" i="7" s="1"/>
  <c r="T61" i="8" s="1"/>
  <c r="D294" i="7"/>
  <c r="E294" i="7" s="1"/>
  <c r="T45" i="8" s="1"/>
  <c r="D111" i="7"/>
  <c r="E111" i="7" s="1"/>
  <c r="M49" i="8" s="1"/>
  <c r="D279" i="7"/>
  <c r="E279" i="7" s="1"/>
  <c r="AA37" i="8" s="1"/>
  <c r="D390" i="7"/>
  <c r="E390" i="7" s="1"/>
  <c r="T93" i="8" s="1"/>
  <c r="D282" i="7"/>
  <c r="E282" i="7" s="1"/>
  <c r="T39" i="8" s="1"/>
  <c r="D218" i="7"/>
  <c r="E218" i="7" s="1"/>
  <c r="T7" i="8" s="1"/>
  <c r="E255" i="7"/>
  <c r="AA25" i="8" s="1"/>
  <c r="D255" i="7"/>
  <c r="D72" i="7"/>
  <c r="E72" i="7" s="1"/>
  <c r="D132" i="7"/>
  <c r="E132" i="7" s="1"/>
  <c r="D204" i="7"/>
  <c r="E204" i="7" s="1"/>
  <c r="F96" i="8" s="1"/>
  <c r="D315" i="7"/>
  <c r="E315" i="7" s="1"/>
  <c r="AA55" i="8" s="1"/>
  <c r="D180" i="7"/>
  <c r="E180" i="7" s="1"/>
  <c r="E335" i="7"/>
  <c r="AA65" i="8" s="1"/>
  <c r="D335" i="7"/>
  <c r="D215" i="7"/>
  <c r="E215" i="7" s="1"/>
  <c r="AA5" i="8" s="1"/>
  <c r="D23" i="7"/>
  <c r="E23" i="7" s="1"/>
  <c r="M5" i="8" s="1"/>
  <c r="D192" i="7"/>
  <c r="E192" i="7" s="1"/>
  <c r="D375" i="7"/>
  <c r="E375" i="7" s="1"/>
  <c r="AA85" i="8" s="1"/>
  <c r="D158" i="7"/>
  <c r="E158" i="7" s="1"/>
  <c r="D67" i="7"/>
  <c r="E67" i="7" s="1"/>
  <c r="M27" i="8" s="1"/>
  <c r="D373" i="7"/>
  <c r="E373" i="7"/>
  <c r="AA84" i="8" s="1"/>
  <c r="D99" i="7"/>
  <c r="E99" i="7" s="1"/>
  <c r="M43" i="8" s="1"/>
  <c r="E287" i="7"/>
  <c r="AA41" i="8" s="1"/>
  <c r="D287" i="7"/>
  <c r="D119" i="7"/>
  <c r="E119" i="7" s="1"/>
  <c r="M53" i="8" s="1"/>
  <c r="D143" i="7"/>
  <c r="E143" i="7" s="1"/>
  <c r="M65" i="8" s="1"/>
  <c r="D290" i="7"/>
  <c r="E290" i="7" s="1"/>
  <c r="T43" i="8" s="1"/>
  <c r="D162" i="7"/>
  <c r="E162" i="7" s="1"/>
  <c r="D398" i="7"/>
  <c r="E398" i="7" s="1"/>
  <c r="T97" i="8" s="1"/>
  <c r="D305" i="7"/>
  <c r="E305" i="7" s="1"/>
  <c r="AA50" i="8" s="1"/>
  <c r="D243" i="7"/>
  <c r="E243" i="7" s="1"/>
  <c r="AA19" i="8" s="1"/>
  <c r="E267" i="7"/>
  <c r="AA31" i="8" s="1"/>
  <c r="D267" i="7"/>
  <c r="A39" i="4" l="1"/>
  <c r="A63" i="4" s="1"/>
  <c r="A87" i="4" s="1"/>
  <c r="A111" i="4" s="1"/>
  <c r="A135" i="4" s="1"/>
  <c r="A159" i="4" s="1"/>
  <c r="A183" i="4" s="1"/>
  <c r="A207" i="4" s="1"/>
  <c r="A231" i="4" s="1"/>
  <c r="A255" i="4" s="1"/>
  <c r="A279" i="4" s="1"/>
  <c r="A303" i="4" s="1"/>
  <c r="A327" i="4" s="1"/>
  <c r="A351" i="4" s="1"/>
  <c r="A375" i="4" s="1"/>
  <c r="A16" i="4"/>
  <c r="A40" i="4" l="1"/>
  <c r="A64" i="4" s="1"/>
  <c r="A88" i="4" s="1"/>
  <c r="A112" i="4" s="1"/>
  <c r="A136" i="4" s="1"/>
  <c r="A160" i="4" s="1"/>
  <c r="A184" i="4" s="1"/>
  <c r="A208" i="4" s="1"/>
  <c r="A232" i="4" s="1"/>
  <c r="A256" i="4" s="1"/>
  <c r="A280" i="4" s="1"/>
  <c r="A304" i="4" s="1"/>
  <c r="A328" i="4" s="1"/>
  <c r="A352" i="4" s="1"/>
  <c r="A376" i="4" s="1"/>
  <c r="A17" i="4"/>
  <c r="A41" i="4" l="1"/>
  <c r="A65" i="4" s="1"/>
  <c r="A89" i="4" s="1"/>
  <c r="A113" i="4" s="1"/>
  <c r="A137" i="4" s="1"/>
  <c r="A161" i="4" s="1"/>
  <c r="A185" i="4" s="1"/>
  <c r="A209" i="4" s="1"/>
  <c r="A233" i="4" s="1"/>
  <c r="A257" i="4" s="1"/>
  <c r="A281" i="4" s="1"/>
  <c r="A305" i="4" s="1"/>
  <c r="A329" i="4" s="1"/>
  <c r="A353" i="4" s="1"/>
  <c r="A377" i="4" s="1"/>
  <c r="A18" i="4"/>
  <c r="A42" i="4" l="1"/>
  <c r="A66" i="4" s="1"/>
  <c r="A90" i="4" s="1"/>
  <c r="A114" i="4" s="1"/>
  <c r="A138" i="4" s="1"/>
  <c r="A162" i="4" s="1"/>
  <c r="A186" i="4" s="1"/>
  <c r="A210" i="4" s="1"/>
  <c r="A234" i="4" s="1"/>
  <c r="A258" i="4" s="1"/>
  <c r="A282" i="4" s="1"/>
  <c r="A306" i="4" s="1"/>
  <c r="A330" i="4" s="1"/>
  <c r="A354" i="4" s="1"/>
  <c r="A378" i="4" s="1"/>
  <c r="A19" i="4"/>
  <c r="A43" i="4" l="1"/>
  <c r="A67" i="4" s="1"/>
  <c r="A91" i="4" s="1"/>
  <c r="A115" i="4" s="1"/>
  <c r="A139" i="4" s="1"/>
  <c r="A163" i="4" s="1"/>
  <c r="A187" i="4" s="1"/>
  <c r="A211" i="4" s="1"/>
  <c r="A235" i="4" s="1"/>
  <c r="A259" i="4" s="1"/>
  <c r="A283" i="4" s="1"/>
  <c r="A307" i="4" s="1"/>
  <c r="A331" i="4" s="1"/>
  <c r="A355" i="4" s="1"/>
  <c r="A379" i="4" s="1"/>
  <c r="A20" i="4"/>
  <c r="A44" i="4" l="1"/>
  <c r="A68" i="4" s="1"/>
  <c r="A92" i="4" s="1"/>
  <c r="A116" i="4" s="1"/>
  <c r="A140" i="4" s="1"/>
  <c r="A164" i="4" s="1"/>
  <c r="A188" i="4" s="1"/>
  <c r="A212" i="4" s="1"/>
  <c r="A236" i="4" s="1"/>
  <c r="A260" i="4" s="1"/>
  <c r="A284" i="4" s="1"/>
  <c r="A308" i="4" s="1"/>
  <c r="A332" i="4" s="1"/>
  <c r="A356" i="4" s="1"/>
  <c r="A380" i="4" s="1"/>
  <c r="A21" i="4"/>
  <c r="A45" i="4" l="1"/>
  <c r="A69" i="4" s="1"/>
  <c r="A93" i="4" s="1"/>
  <c r="A117" i="4" s="1"/>
  <c r="A141" i="4" s="1"/>
  <c r="A165" i="4" s="1"/>
  <c r="A189" i="4" s="1"/>
  <c r="A213" i="4" s="1"/>
  <c r="A237" i="4" s="1"/>
  <c r="A261" i="4" s="1"/>
  <c r="A285" i="4" s="1"/>
  <c r="A309" i="4" s="1"/>
  <c r="A333" i="4" s="1"/>
  <c r="A357" i="4" s="1"/>
  <c r="A381" i="4" s="1"/>
  <c r="A22" i="4"/>
  <c r="A46" i="4" l="1"/>
  <c r="A70" i="4" s="1"/>
  <c r="A94" i="4" s="1"/>
  <c r="A118" i="4" s="1"/>
  <c r="A142" i="4" s="1"/>
  <c r="A166" i="4" s="1"/>
  <c r="A190" i="4" s="1"/>
  <c r="A214" i="4" s="1"/>
  <c r="A238" i="4" s="1"/>
  <c r="A262" i="4" s="1"/>
  <c r="A286" i="4" s="1"/>
  <c r="A310" i="4" s="1"/>
  <c r="A334" i="4" s="1"/>
  <c r="A358" i="4" s="1"/>
  <c r="A382" i="4" s="1"/>
  <c r="A23" i="4"/>
  <c r="A47" i="4" l="1"/>
  <c r="A71" i="4" s="1"/>
  <c r="A95" i="4" s="1"/>
  <c r="A119" i="4" s="1"/>
  <c r="A143" i="4" s="1"/>
  <c r="A167" i="4" s="1"/>
  <c r="A191" i="4" s="1"/>
  <c r="A215" i="4" s="1"/>
  <c r="A239" i="4" s="1"/>
  <c r="A263" i="4" s="1"/>
  <c r="A287" i="4" s="1"/>
  <c r="A311" i="4" s="1"/>
  <c r="A335" i="4" s="1"/>
  <c r="A359" i="4" s="1"/>
  <c r="A383" i="4" s="1"/>
  <c r="A24" i="4"/>
  <c r="A48" i="4" l="1"/>
  <c r="A72" i="4" s="1"/>
  <c r="A96" i="4" s="1"/>
  <c r="A120" i="4" s="1"/>
  <c r="A144" i="4" s="1"/>
  <c r="A168" i="4" s="1"/>
  <c r="A192" i="4" s="1"/>
  <c r="A216" i="4" s="1"/>
  <c r="A240" i="4" s="1"/>
  <c r="A264" i="4" s="1"/>
  <c r="A288" i="4" s="1"/>
  <c r="A312" i="4" s="1"/>
  <c r="A336" i="4" s="1"/>
  <c r="A360" i="4" s="1"/>
  <c r="A384" i="4" s="1"/>
  <c r="A25" i="4"/>
  <c r="A26" i="4" l="1"/>
  <c r="A49" i="4"/>
  <c r="A73" i="4" s="1"/>
  <c r="A97" i="4" s="1"/>
  <c r="A121" i="4" s="1"/>
  <c r="A145" i="4" s="1"/>
  <c r="A169" i="4" s="1"/>
  <c r="A193" i="4" s="1"/>
  <c r="A217" i="4" s="1"/>
  <c r="A241" i="4" s="1"/>
  <c r="A265" i="4" s="1"/>
  <c r="A289" i="4" s="1"/>
  <c r="A313" i="4" s="1"/>
  <c r="A337" i="4" s="1"/>
  <c r="A361" i="4" s="1"/>
  <c r="A385" i="4" s="1"/>
  <c r="A27" i="4" l="1"/>
  <c r="A50" i="4"/>
  <c r="A74" i="4" s="1"/>
  <c r="A98" i="4" s="1"/>
  <c r="A122" i="4" s="1"/>
  <c r="A146" i="4" s="1"/>
  <c r="A170" i="4" s="1"/>
  <c r="A194" i="4" s="1"/>
  <c r="A218" i="4" s="1"/>
  <c r="A242" i="4" s="1"/>
  <c r="A266" i="4" s="1"/>
  <c r="A290" i="4" s="1"/>
  <c r="A314" i="4" s="1"/>
  <c r="A338" i="4" s="1"/>
  <c r="A362" i="4" s="1"/>
  <c r="A386" i="4" s="1"/>
  <c r="A28" i="4" l="1"/>
  <c r="A51" i="4"/>
  <c r="A75" i="4" s="1"/>
  <c r="A99" i="4" s="1"/>
  <c r="A123" i="4" s="1"/>
  <c r="A147" i="4" s="1"/>
  <c r="A171" i="4" s="1"/>
  <c r="A195" i="4" s="1"/>
  <c r="A219" i="4" s="1"/>
  <c r="A243" i="4" s="1"/>
  <c r="A267" i="4" s="1"/>
  <c r="A291" i="4" s="1"/>
  <c r="A315" i="4" s="1"/>
  <c r="A339" i="4" s="1"/>
  <c r="A363" i="4" s="1"/>
  <c r="A387" i="4" s="1"/>
  <c r="A29" i="4" l="1"/>
  <c r="A52" i="4"/>
  <c r="A76" i="4" s="1"/>
  <c r="A100" i="4" s="1"/>
  <c r="A124" i="4" s="1"/>
  <c r="A148" i="4" s="1"/>
  <c r="A172" i="4" s="1"/>
  <c r="A196" i="4" s="1"/>
  <c r="A220" i="4" s="1"/>
  <c r="A244" i="4" s="1"/>
  <c r="A268" i="4" s="1"/>
  <c r="A292" i="4" s="1"/>
  <c r="A316" i="4" s="1"/>
  <c r="A340" i="4" s="1"/>
  <c r="A364" i="4" s="1"/>
  <c r="A388" i="4" s="1"/>
  <c r="A30" i="4" l="1"/>
  <c r="A53" i="4"/>
  <c r="A77" i="4" s="1"/>
  <c r="A101" i="4" s="1"/>
  <c r="A125" i="4" s="1"/>
  <c r="A149" i="4" s="1"/>
  <c r="A173" i="4" s="1"/>
  <c r="A197" i="4" s="1"/>
  <c r="A221" i="4" s="1"/>
  <c r="A245" i="4" s="1"/>
  <c r="A269" i="4" s="1"/>
  <c r="A293" i="4" s="1"/>
  <c r="A317" i="4" s="1"/>
  <c r="A341" i="4" s="1"/>
  <c r="A365" i="4" s="1"/>
  <c r="A389" i="4" s="1"/>
  <c r="A31" i="4" l="1"/>
  <c r="A54" i="4"/>
  <c r="A78" i="4" s="1"/>
  <c r="A102" i="4" s="1"/>
  <c r="A126" i="4" s="1"/>
  <c r="A150" i="4" s="1"/>
  <c r="A174" i="4" s="1"/>
  <c r="A198" i="4" s="1"/>
  <c r="A222" i="4" s="1"/>
  <c r="A246" i="4" s="1"/>
  <c r="A270" i="4" s="1"/>
  <c r="A294" i="4" s="1"/>
  <c r="A318" i="4" s="1"/>
  <c r="A342" i="4" s="1"/>
  <c r="A366" i="4" s="1"/>
  <c r="A390" i="4" s="1"/>
  <c r="A32" i="4" l="1"/>
  <c r="A55" i="4"/>
  <c r="A79" i="4" s="1"/>
  <c r="A103" i="4" s="1"/>
  <c r="A127" i="4" s="1"/>
  <c r="A151" i="4" s="1"/>
  <c r="A175" i="4" s="1"/>
  <c r="A199" i="4" s="1"/>
  <c r="A223" i="4" s="1"/>
  <c r="A247" i="4" s="1"/>
  <c r="A271" i="4" s="1"/>
  <c r="A295" i="4" s="1"/>
  <c r="A319" i="4" s="1"/>
  <c r="A343" i="4" s="1"/>
  <c r="A367" i="4" s="1"/>
  <c r="A391" i="4" s="1"/>
  <c r="A33" i="4" l="1"/>
  <c r="A57" i="4" s="1"/>
  <c r="A81" i="4" s="1"/>
  <c r="A105" i="4" s="1"/>
  <c r="A129" i="4" s="1"/>
  <c r="A153" i="4" s="1"/>
  <c r="A177" i="4" s="1"/>
  <c r="A201" i="4" s="1"/>
  <c r="A225" i="4" s="1"/>
  <c r="A249" i="4" s="1"/>
  <c r="A273" i="4" s="1"/>
  <c r="A297" i="4" s="1"/>
  <c r="A321" i="4" s="1"/>
  <c r="A345" i="4" s="1"/>
  <c r="A369" i="4" s="1"/>
  <c r="A393" i="4" s="1"/>
  <c r="A56" i="4"/>
  <c r="A80" i="4" s="1"/>
  <c r="A104" i="4" s="1"/>
  <c r="A128" i="4" s="1"/>
  <c r="A152" i="4" s="1"/>
  <c r="A176" i="4" s="1"/>
  <c r="A200" i="4" s="1"/>
  <c r="A224" i="4" s="1"/>
  <c r="A248" i="4" s="1"/>
  <c r="A272" i="4" s="1"/>
  <c r="A296" i="4" s="1"/>
  <c r="A320" i="4" s="1"/>
  <c r="A344" i="4" s="1"/>
  <c r="A368" i="4" s="1"/>
  <c r="A392" i="4" s="1"/>
</calcChain>
</file>

<file path=xl/sharedStrings.xml><?xml version="1.0" encoding="utf-8"?>
<sst xmlns="http://schemas.openxmlformats.org/spreadsheetml/2006/main" count="1356" uniqueCount="339">
  <si>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</si>
  <si>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</si>
  <si>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</si>
  <si>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</si>
  <si>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</si>
  <si>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</si>
  <si>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</si>
  <si>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</si>
  <si>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</si>
  <si>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</si>
  <si>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</si>
  <si>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</si>
  <si>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</si>
  <si>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</si>
  <si>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</si>
  <si>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</si>
  <si>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Ct from Well A1 should be in F10</t>
  </si>
  <si>
    <t>NEW: ONLY copy in the Ct values - do NOT overwrite columns A thru E.</t>
  </si>
  <si>
    <t>Standard 1</t>
  </si>
  <si>
    <t>Standard 2</t>
  </si>
  <si>
    <t>Standard 3</t>
  </si>
  <si>
    <t>Standard 4</t>
  </si>
  <si>
    <t>NTC</t>
  </si>
  <si>
    <t>Standards/NTC</t>
  </si>
  <si>
    <t>H</t>
    <phoneticPr fontId="1" type="noConversion"/>
  </si>
  <si>
    <t>Name</t>
  </si>
  <si>
    <t>Theoretical pM</t>
  </si>
  <si>
    <t>Ct value</t>
  </si>
  <si>
    <t>Calculated pM</t>
  </si>
  <si>
    <t>% Error</t>
  </si>
  <si>
    <t>NTC1</t>
  </si>
  <si>
    <t>NTC2</t>
  </si>
  <si>
    <t>NTC3</t>
  </si>
  <si>
    <t>NTC4</t>
  </si>
  <si>
    <t>Sample Name</t>
  </si>
  <si>
    <t>CT Value</t>
  </si>
  <si>
    <t>pM in Sample</t>
  </si>
  <si>
    <t>Dilution Factor</t>
  </si>
  <si>
    <t>pm in Reaction</t>
  </si>
  <si>
    <t>Sample</t>
  </si>
  <si>
    <t>Plate ID</t>
  </si>
  <si>
    <t>Well ID</t>
  </si>
  <si>
    <t>Concentration (pM)</t>
  </si>
  <si>
    <t>A1</t>
  </si>
  <si>
    <t>B1</t>
  </si>
  <si>
    <t>C1</t>
  </si>
  <si>
    <t>D1</t>
  </si>
  <si>
    <t>E1</t>
  </si>
  <si>
    <t>F1</t>
  </si>
  <si>
    <t>G1</t>
  </si>
  <si>
    <t>H1</t>
  </si>
  <si>
    <t>A2</t>
  </si>
  <si>
    <t>B2</t>
  </si>
  <si>
    <t>C2</t>
  </si>
  <si>
    <t>D2</t>
  </si>
  <si>
    <t>E2</t>
  </si>
  <si>
    <t>F2</t>
  </si>
  <si>
    <t>G2</t>
  </si>
  <si>
    <t>H2</t>
  </si>
  <si>
    <t>A3</t>
  </si>
  <si>
    <t>B3</t>
  </si>
  <si>
    <t>C3</t>
  </si>
  <si>
    <t>D3</t>
  </si>
  <si>
    <t>E3</t>
  </si>
  <si>
    <t>F3</t>
  </si>
  <si>
    <t>G3</t>
  </si>
  <si>
    <t>H3</t>
  </si>
  <si>
    <t>A4</t>
  </si>
  <si>
    <t>B4</t>
  </si>
  <si>
    <t>C4</t>
  </si>
  <si>
    <t>D4</t>
  </si>
  <si>
    <t>E4</t>
  </si>
  <si>
    <t>F4</t>
  </si>
  <si>
    <t>G4</t>
  </si>
  <si>
    <t>H4</t>
  </si>
  <si>
    <t>A5</t>
  </si>
  <si>
    <t>B5</t>
  </si>
  <si>
    <t>C5</t>
  </si>
  <si>
    <t>D5</t>
  </si>
  <si>
    <t>E5</t>
  </si>
  <si>
    <t>F5</t>
  </si>
  <si>
    <t>G5</t>
  </si>
  <si>
    <t>H5</t>
  </si>
  <si>
    <t>A6</t>
  </si>
  <si>
    <t>B6</t>
  </si>
  <si>
    <t>C6</t>
  </si>
  <si>
    <t>D6</t>
  </si>
  <si>
    <t>E6</t>
  </si>
  <si>
    <t>F6</t>
  </si>
  <si>
    <t>G6</t>
  </si>
  <si>
    <t>H6</t>
  </si>
  <si>
    <t>A7</t>
  </si>
  <si>
    <t>B7</t>
  </si>
  <si>
    <t>C7</t>
  </si>
  <si>
    <t>D7</t>
  </si>
  <si>
    <t>E7</t>
  </si>
  <si>
    <t>F7</t>
  </si>
  <si>
    <t>G7</t>
  </si>
  <si>
    <t>H7</t>
  </si>
  <si>
    <t>A8</t>
  </si>
  <si>
    <t>B8</t>
  </si>
  <si>
    <t>C8</t>
  </si>
  <si>
    <t>D8</t>
  </si>
  <si>
    <t>E8</t>
  </si>
  <si>
    <t>F8</t>
  </si>
  <si>
    <t>G8</t>
  </si>
  <si>
    <t>H8</t>
  </si>
  <si>
    <t>A9</t>
  </si>
  <si>
    <t>B9</t>
  </si>
  <si>
    <t>C9</t>
  </si>
  <si>
    <t>D9</t>
  </si>
  <si>
    <t>E9</t>
  </si>
  <si>
    <t>F9</t>
  </si>
  <si>
    <t>G9</t>
  </si>
  <si>
    <t>H9</t>
  </si>
  <si>
    <t>A10</t>
  </si>
  <si>
    <t>B10</t>
  </si>
  <si>
    <t>C10</t>
  </si>
  <si>
    <t>D10</t>
  </si>
  <si>
    <t>E10</t>
  </si>
  <si>
    <t>F10</t>
  </si>
  <si>
    <t>G10</t>
  </si>
  <si>
    <t>H10</t>
  </si>
  <si>
    <t>A11</t>
  </si>
  <si>
    <t>B11</t>
  </si>
  <si>
    <t>C11</t>
  </si>
  <si>
    <t>D11</t>
  </si>
  <si>
    <t>E11</t>
  </si>
  <si>
    <t>F11</t>
  </si>
  <si>
    <t>G11</t>
  </si>
  <si>
    <t>H11</t>
  </si>
  <si>
    <t>A12</t>
  </si>
  <si>
    <t>B12</t>
  </si>
  <si>
    <t>C12</t>
  </si>
  <si>
    <t>D12</t>
  </si>
  <si>
    <t>E12</t>
  </si>
  <si>
    <t>F12</t>
  </si>
  <si>
    <t>G12</t>
  </si>
  <si>
    <t>H12</t>
  </si>
  <si>
    <t>384 Well  Layout Legend</t>
  </si>
  <si>
    <t>pMoles/uL</t>
  </si>
  <si>
    <t>Vol of Sample Needed for Pool (uL)</t>
  </si>
  <si>
    <t>Reagent to Add</t>
  </si>
  <si>
    <t>Vol. to Add (μL)</t>
  </si>
  <si>
    <t>NF H20</t>
  </si>
  <si>
    <t>Total Volume</t>
  </si>
  <si>
    <t>KAPA SYBR Fast MM (2x)</t>
  </si>
  <si>
    <t>Number of Samples</t>
  </si>
  <si>
    <t>Final Lib qPCR Master Mix Calculator</t>
  </si>
  <si>
    <t>qPCR Primer 1</t>
  </si>
  <si>
    <t>qPCR Primer 2</t>
  </si>
  <si>
    <t>based on # of samples to accommodate for error.</t>
  </si>
  <si>
    <t>CT Values</t>
  </si>
  <si>
    <t>Job Number</t>
  </si>
  <si>
    <t>Job #</t>
  </si>
  <si>
    <t>Plate Dilution Factor:</t>
  </si>
  <si>
    <t xml:space="preserve"> qPCR CT Value</t>
  </si>
  <si>
    <t>qPCR CT Value</t>
  </si>
  <si>
    <t xml:space="preserve"> qPCR Conc. (pM)</t>
  </si>
  <si>
    <t>qPCR Conc. (pM)</t>
  </si>
  <si>
    <t>Empty Well</t>
  </si>
  <si>
    <t xml:space="preserve">It takes into account that a total of 8 controls and </t>
  </si>
  <si>
    <t xml:space="preserve">8 NTCS are used (4 controls and 4 NTCs in </t>
  </si>
  <si>
    <t>duplicate)</t>
  </si>
  <si>
    <t># of Samples in Pool:</t>
  </si>
  <si>
    <t>Vol (uL) of Pool:</t>
  </si>
  <si>
    <t>Include In Pool?</t>
  </si>
  <si>
    <t>A01</t>
  </si>
  <si>
    <t>B01</t>
  </si>
  <si>
    <t>C01</t>
  </si>
  <si>
    <t>D01</t>
  </si>
  <si>
    <t>E01</t>
  </si>
  <si>
    <t>F01</t>
  </si>
  <si>
    <t>G01</t>
  </si>
  <si>
    <t>H01</t>
  </si>
  <si>
    <t>A02</t>
  </si>
  <si>
    <t>B02</t>
  </si>
  <si>
    <t>C02</t>
  </si>
  <si>
    <t>D02</t>
  </si>
  <si>
    <t>E02</t>
  </si>
  <si>
    <t>F02</t>
  </si>
  <si>
    <t>G02</t>
  </si>
  <si>
    <t>H02</t>
  </si>
  <si>
    <t>A03</t>
  </si>
  <si>
    <t>B03</t>
  </si>
  <si>
    <t>C03</t>
  </si>
  <si>
    <t>D03</t>
  </si>
  <si>
    <t>E03</t>
  </si>
  <si>
    <t>F03</t>
  </si>
  <si>
    <t>G03</t>
  </si>
  <si>
    <t>H03</t>
  </si>
  <si>
    <t>A04</t>
  </si>
  <si>
    <t>B04</t>
  </si>
  <si>
    <t>C04</t>
  </si>
  <si>
    <t>D04</t>
  </si>
  <si>
    <t>E04</t>
  </si>
  <si>
    <t>F04</t>
  </si>
  <si>
    <t>G04</t>
  </si>
  <si>
    <t>H04</t>
  </si>
  <si>
    <t>A05</t>
  </si>
  <si>
    <t>B05</t>
  </si>
  <si>
    <t>C05</t>
  </si>
  <si>
    <t>D05</t>
  </si>
  <si>
    <t>E05</t>
  </si>
  <si>
    <t>F05</t>
  </si>
  <si>
    <t>G05</t>
  </si>
  <si>
    <t>H05</t>
  </si>
  <si>
    <t>A06</t>
  </si>
  <si>
    <t>B06</t>
  </si>
  <si>
    <t>C06</t>
  </si>
  <si>
    <t>D06</t>
  </si>
  <si>
    <t>E06</t>
  </si>
  <si>
    <t>F06</t>
  </si>
  <si>
    <t>G06</t>
  </si>
  <si>
    <t>H06</t>
  </si>
  <si>
    <t>A07</t>
  </si>
  <si>
    <t>B07</t>
  </si>
  <si>
    <t>C07</t>
  </si>
  <si>
    <t>D07</t>
  </si>
  <si>
    <t>E07</t>
  </si>
  <si>
    <t>F07</t>
  </si>
  <si>
    <t>G07</t>
  </si>
  <si>
    <t>H07</t>
  </si>
  <si>
    <t>A08</t>
  </si>
  <si>
    <t>B08</t>
  </si>
  <si>
    <t>C08</t>
  </si>
  <si>
    <t>D08</t>
  </si>
  <si>
    <t>E08</t>
  </si>
  <si>
    <t>F08</t>
  </si>
  <si>
    <t>G08</t>
  </si>
  <si>
    <t>H08</t>
  </si>
  <si>
    <t>A09</t>
  </si>
  <si>
    <t>B09</t>
  </si>
  <si>
    <t>C09</t>
  </si>
  <si>
    <t>D09</t>
  </si>
  <si>
    <t>E09</t>
  </si>
  <si>
    <t>F09</t>
  </si>
  <si>
    <t>G09</t>
  </si>
  <si>
    <t>H09</t>
  </si>
  <si>
    <t>Plate_1</t>
  </si>
  <si>
    <t>Plate_2</t>
  </si>
  <si>
    <t>Plate_3</t>
  </si>
  <si>
    <t>Plate_4</t>
  </si>
  <si>
    <t>Plate_1 (for qPCR)</t>
  </si>
  <si>
    <t>Plate_2 (for qPCR)</t>
  </si>
  <si>
    <t>Plate_3 (for qPCR)</t>
  </si>
  <si>
    <t>Plate_4 (for qPCR)</t>
  </si>
  <si>
    <t>Target pMoles per Sample:</t>
  </si>
  <si>
    <t>This calculator is designed to give a 10% excess</t>
  </si>
  <si>
    <t xml:space="preserve"> Max Volume of Sample to Use (uL):</t>
  </si>
  <si>
    <t>Enter Plate Name Here!</t>
  </si>
  <si>
    <t>ROX HI</t>
  </si>
  <si>
    <t>Undetermined</t>
  </si>
  <si>
    <t>JA20274</t>
  </si>
  <si>
    <t>2AP5</t>
  </si>
  <si>
    <t>2AP6</t>
  </si>
  <si>
    <t>2AP7</t>
  </si>
  <si>
    <t>2AP8</t>
  </si>
  <si>
    <t>2AP9</t>
  </si>
  <si>
    <t>2AP10</t>
  </si>
  <si>
    <t>2AP11</t>
  </si>
  <si>
    <t>2AP12</t>
  </si>
  <si>
    <t>2AP13</t>
  </si>
  <si>
    <t>2AP14</t>
  </si>
  <si>
    <t>2AP15</t>
  </si>
  <si>
    <t>2AP16</t>
  </si>
  <si>
    <t>2AP17</t>
  </si>
  <si>
    <t>2AP18</t>
  </si>
  <si>
    <t>2AP19</t>
  </si>
  <si>
    <t>2AP20</t>
  </si>
  <si>
    <t>2AP21</t>
  </si>
  <si>
    <t>2AP22</t>
  </si>
  <si>
    <t>2AP23</t>
  </si>
  <si>
    <t>2AP24</t>
  </si>
  <si>
    <t>2AP25</t>
  </si>
  <si>
    <t>2AP26</t>
  </si>
  <si>
    <t>2AP27</t>
  </si>
  <si>
    <t>2AP28</t>
  </si>
  <si>
    <t>2AP29</t>
  </si>
  <si>
    <t>2AP30</t>
  </si>
  <si>
    <t>L0P5</t>
  </si>
  <si>
    <t>L0P6</t>
  </si>
  <si>
    <t>L0P7</t>
  </si>
  <si>
    <t>L0P8</t>
  </si>
  <si>
    <t>L0P9</t>
  </si>
  <si>
    <t>L0P10</t>
  </si>
  <si>
    <t>L0P11</t>
  </si>
  <si>
    <t>L0P12</t>
  </si>
  <si>
    <t>L0P13</t>
  </si>
  <si>
    <t>L0P14</t>
  </si>
  <si>
    <t>L0P15</t>
  </si>
  <si>
    <t>L0P16</t>
  </si>
  <si>
    <t>L0P17</t>
  </si>
  <si>
    <t>L0P18</t>
  </si>
  <si>
    <t>L0P19</t>
  </si>
  <si>
    <t>L0P20</t>
  </si>
  <si>
    <t>L0P21</t>
  </si>
  <si>
    <t>L0P22</t>
  </si>
  <si>
    <t>L0P23</t>
  </si>
  <si>
    <t>L0P24</t>
  </si>
  <si>
    <t>L0P25</t>
  </si>
  <si>
    <t>L0P26</t>
  </si>
  <si>
    <t>L0P27</t>
  </si>
  <si>
    <t>L0P28</t>
  </si>
  <si>
    <t>L0P29</t>
  </si>
  <si>
    <t>L0P30</t>
  </si>
  <si>
    <t/>
  </si>
  <si>
    <t>BarLP5C</t>
  </si>
  <si>
    <t>BarLP6C</t>
  </si>
  <si>
    <t>BarLP7C</t>
  </si>
  <si>
    <t>BarLP8C</t>
  </si>
  <si>
    <t>BarLP9C</t>
  </si>
  <si>
    <t>BarLP10C</t>
  </si>
  <si>
    <t>BarLP11C</t>
  </si>
  <si>
    <t>BarLP12C</t>
  </si>
  <si>
    <t>BarLP13C</t>
  </si>
  <si>
    <t>BarLP14C</t>
  </si>
  <si>
    <t>BarLP15C</t>
  </si>
  <si>
    <t>BarLP16C</t>
  </si>
  <si>
    <t>BarLP17C</t>
  </si>
  <si>
    <t>BarLP18C</t>
  </si>
  <si>
    <t>BarLP5H</t>
  </si>
  <si>
    <t>BarLP6H</t>
  </si>
  <si>
    <t>BarLP7H</t>
  </si>
  <si>
    <t>BarLP8H</t>
  </si>
  <si>
    <t>BarLP9H</t>
  </si>
  <si>
    <t>BarLP10H</t>
  </si>
  <si>
    <t>BarLP11H</t>
  </si>
  <si>
    <t>BarLP12H</t>
  </si>
  <si>
    <t>BarLP13H</t>
  </si>
  <si>
    <t>BarLP14H</t>
  </si>
  <si>
    <t>BarLP15H</t>
  </si>
  <si>
    <t>BarLP16H</t>
  </si>
  <si>
    <t>BarLP17H</t>
  </si>
  <si>
    <t>BarLP18H</t>
  </si>
  <si>
    <t>2A</t>
  </si>
  <si>
    <t>L0</t>
  </si>
  <si>
    <t>BarL</t>
  </si>
  <si>
    <t>JA20274 QA20139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</si>
</sst>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,##0.000"/>
    <numFmt numFmtId="165" formatCode="0.0000"/>
  </numFmts>
  <fonts count="13" x14ac:knownFonts="1">
    <font>
      <sz val="11"/>
      <color theme="1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24"/>
      <name val="Arial"/>
      <family val="2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b/>
      <sz val="14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3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CC99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CAFED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B3"/>
        <bgColor indexed="64"/>
      </patternFill>
    </fill>
  </fills>
  <borders count="4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ck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</borders>
  <cellStyleXfs count="3">
    <xf numFmtId="0" fontId="0" fillId="0" borderId="0"/>
    <xf numFmtId="0" fontId="2" fillId="0" borderId="0"/>
    <xf numFmtId="0" fontId="5" fillId="3" borderId="25" applyNumberFormat="0" applyAlignment="0" applyProtection="0"/>
  </cellStyleXfs>
  <cellXfs count="165">
    <xf numFmtId="0" fontId="0" fillId="0" borderId="0" xfId="0"/>
    <xf numFmtId="0" fontId="1" fillId="0" borderId="5" xfId="0" applyFont="1" applyBorder="1" applyAlignment="1">
      <alignment horizontal="center"/>
    </xf>
    <xf numFmtId="0" fontId="0" fillId="0" borderId="9" xfId="0" applyBorder="1" applyAlignment="1">
      <alignment horizontal="center"/>
    </xf>
    <xf numFmtId="0" fontId="1" fillId="0" borderId="15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164" fontId="0" fillId="0" borderId="0" xfId="0" applyNumberFormat="1"/>
    <xf numFmtId="0" fontId="0" fillId="0" borderId="20" xfId="0" applyBorder="1" applyAlignment="1">
      <alignment horizontal="center"/>
    </xf>
    <xf numFmtId="0" fontId="0" fillId="0" borderId="9" xfId="0" applyNumberFormat="1" applyBorder="1" applyAlignment="1">
      <alignment horizontal="center"/>
    </xf>
    <xf numFmtId="0" fontId="0" fillId="0" borderId="21" xfId="0" applyBorder="1" applyAlignment="1">
      <alignment horizontal="center"/>
    </xf>
    <xf numFmtId="0" fontId="1" fillId="0" borderId="20" xfId="0" applyFont="1" applyBorder="1" applyAlignment="1">
      <alignment horizontal="center"/>
    </xf>
    <xf numFmtId="0" fontId="1" fillId="0" borderId="9" xfId="0" applyFont="1" applyBorder="1" applyAlignment="1">
      <alignment horizontal="center"/>
    </xf>
    <xf numFmtId="0" fontId="1" fillId="0" borderId="9" xfId="0" applyNumberFormat="1" applyFont="1" applyBorder="1" applyAlignment="1">
      <alignment horizontal="center"/>
    </xf>
    <xf numFmtId="0" fontId="1" fillId="0" borderId="21" xfId="0" applyFont="1" applyBorder="1" applyAlignment="1">
      <alignment horizontal="center"/>
    </xf>
    <xf numFmtId="10" fontId="0" fillId="0" borderId="21" xfId="0" applyNumberFormat="1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23" xfId="0" applyNumberFormat="1" applyBorder="1" applyAlignment="1">
      <alignment horizontal="center"/>
    </xf>
    <xf numFmtId="0" fontId="0" fillId="0" borderId="24" xfId="0" applyBorder="1" applyAlignment="1">
      <alignment horizontal="center"/>
    </xf>
    <xf numFmtId="164" fontId="2" fillId="0" borderId="0" xfId="1" applyNumberFormat="1"/>
    <xf numFmtId="0" fontId="6" fillId="0" borderId="29" xfId="0" applyFont="1" applyBorder="1" applyAlignment="1">
      <alignment horizontal="center" vertical="center" wrapText="1"/>
    </xf>
    <xf numFmtId="0" fontId="0" fillId="0" borderId="30" xfId="0" applyBorder="1" applyAlignment="1">
      <alignment horizontal="center"/>
    </xf>
    <xf numFmtId="0" fontId="0" fillId="0" borderId="30" xfId="0" applyBorder="1"/>
    <xf numFmtId="0" fontId="0" fillId="0" borderId="9" xfId="0" applyBorder="1"/>
    <xf numFmtId="2" fontId="0" fillId="0" borderId="0" xfId="0" applyNumberFormat="1" applyBorder="1" applyAlignment="1">
      <alignment horizontal="center"/>
    </xf>
    <xf numFmtId="0" fontId="0" fillId="0" borderId="0" xfId="0" applyBorder="1" applyAlignment="1">
      <alignment horizontal="center"/>
    </xf>
    <xf numFmtId="0" fontId="1" fillId="0" borderId="8" xfId="0" applyFont="1" applyBorder="1" applyAlignment="1">
      <alignment horizontal="center" vertical="center"/>
    </xf>
    <xf numFmtId="0" fontId="0" fillId="4" borderId="9" xfId="0" applyFill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0" xfId="0" applyAlignment="1">
      <alignment vertical="center"/>
    </xf>
    <xf numFmtId="0" fontId="0" fillId="5" borderId="9" xfId="0" applyFill="1" applyBorder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0" fontId="4" fillId="7" borderId="25" xfId="2" applyFont="1" applyFill="1" applyAlignment="1" applyProtection="1">
      <alignment horizontal="center" vertical="center"/>
      <protection locked="0"/>
    </xf>
    <xf numFmtId="0" fontId="0" fillId="0" borderId="0" xfId="0" applyBorder="1"/>
    <xf numFmtId="0" fontId="0" fillId="0" borderId="0" xfId="0" applyProtection="1"/>
    <xf numFmtId="0" fontId="0" fillId="0" borderId="13" xfId="0" applyBorder="1" applyProtection="1"/>
    <xf numFmtId="0" fontId="0" fillId="2" borderId="10" xfId="0" applyFill="1" applyBorder="1" applyAlignment="1" applyProtection="1">
      <alignment horizontal="center" vertical="center"/>
    </xf>
    <xf numFmtId="0" fontId="2" fillId="2" borderId="10" xfId="0" applyFont="1" applyFill="1" applyBorder="1" applyAlignment="1" applyProtection="1">
      <alignment horizontal="center" vertical="center"/>
    </xf>
    <xf numFmtId="0" fontId="7" fillId="0" borderId="0" xfId="0" applyFont="1" applyAlignment="1" applyProtection="1">
      <alignment horizontal="center" vertical="center"/>
    </xf>
    <xf numFmtId="0" fontId="0" fillId="0" borderId="0" xfId="0" applyBorder="1" applyProtection="1"/>
    <xf numFmtId="0" fontId="8" fillId="0" borderId="0" xfId="0" applyFont="1" applyAlignment="1" applyProtection="1">
      <alignment horizontal="center" vertical="center"/>
    </xf>
    <xf numFmtId="0" fontId="8" fillId="0" borderId="0" xfId="0" applyFont="1" applyAlignment="1" applyProtection="1">
      <alignment horizontal="center" vertical="center" wrapText="1"/>
    </xf>
    <xf numFmtId="0" fontId="9" fillId="0" borderId="9" xfId="0" applyFont="1" applyBorder="1" applyAlignment="1" applyProtection="1">
      <alignment vertical="center"/>
    </xf>
    <xf numFmtId="0" fontId="9" fillId="0" borderId="9" xfId="0" applyFont="1" applyBorder="1" applyAlignment="1" applyProtection="1">
      <alignment horizontal="center" vertical="center"/>
    </xf>
    <xf numFmtId="0" fontId="9" fillId="0" borderId="33" xfId="0" applyFont="1" applyBorder="1" applyAlignment="1" applyProtection="1">
      <alignment vertical="center"/>
    </xf>
    <xf numFmtId="0" fontId="9" fillId="0" borderId="33" xfId="0" applyFont="1" applyBorder="1" applyAlignment="1" applyProtection="1">
      <alignment horizontal="center" vertical="center"/>
    </xf>
    <xf numFmtId="0" fontId="9" fillId="0" borderId="6" xfId="0" applyFont="1" applyBorder="1" applyAlignment="1" applyProtection="1">
      <alignment vertical="center"/>
    </xf>
    <xf numFmtId="0" fontId="9" fillId="0" borderId="6" xfId="0" applyFont="1" applyBorder="1" applyAlignment="1" applyProtection="1">
      <alignment horizontal="center" vertical="center"/>
    </xf>
    <xf numFmtId="0" fontId="9" fillId="0" borderId="0" xfId="0" applyFont="1" applyProtection="1"/>
    <xf numFmtId="0" fontId="9" fillId="0" borderId="0" xfId="0" applyFont="1" applyFill="1" applyBorder="1" applyProtection="1"/>
    <xf numFmtId="0" fontId="0" fillId="0" borderId="9" xfId="0" applyBorder="1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3" fillId="0" borderId="0" xfId="0" applyFont="1" applyAlignment="1">
      <alignment horizontal="left"/>
    </xf>
    <xf numFmtId="0" fontId="6" fillId="0" borderId="29" xfId="0" applyFont="1" applyBorder="1" applyAlignment="1">
      <alignment horizontal="center"/>
    </xf>
    <xf numFmtId="164" fontId="1" fillId="6" borderId="30" xfId="1" applyNumberFormat="1" applyFont="1" applyFill="1" applyBorder="1" applyAlignment="1" applyProtection="1">
      <alignment horizontal="center"/>
      <protection locked="0"/>
    </xf>
    <xf numFmtId="0" fontId="2" fillId="6" borderId="9" xfId="1" applyFill="1" applyBorder="1" applyAlignment="1" applyProtection="1">
      <alignment horizontal="center"/>
      <protection locked="0"/>
    </xf>
    <xf numFmtId="164" fontId="2" fillId="6" borderId="9" xfId="1" applyNumberFormat="1" applyFill="1" applyBorder="1" applyAlignment="1" applyProtection="1">
      <alignment horizontal="center"/>
      <protection locked="0"/>
    </xf>
    <xf numFmtId="0" fontId="0" fillId="0" borderId="30" xfId="0" applyBorder="1" applyAlignment="1">
      <alignment horizontal="center" vertical="center"/>
    </xf>
    <xf numFmtId="0" fontId="6" fillId="0" borderId="29" xfId="0" applyFont="1" applyFill="1" applyBorder="1" applyAlignment="1">
      <alignment horizontal="center" vertical="center"/>
    </xf>
    <xf numFmtId="0" fontId="6" fillId="0" borderId="29" xfId="0" applyFont="1" applyBorder="1" applyAlignment="1">
      <alignment horizontal="center" vertical="center"/>
    </xf>
    <xf numFmtId="0" fontId="0" fillId="0" borderId="30" xfId="0" applyBorder="1" applyAlignment="1" applyProtection="1">
      <alignment horizontal="center" vertical="center"/>
      <protection locked="0"/>
    </xf>
    <xf numFmtId="0" fontId="0" fillId="0" borderId="9" xfId="0" applyBorder="1" applyAlignment="1" applyProtection="1">
      <alignment horizontal="center" vertical="center"/>
      <protection locked="0"/>
    </xf>
    <xf numFmtId="0" fontId="0" fillId="8" borderId="9" xfId="0" applyFont="1" applyFill="1" applyBorder="1" applyAlignment="1">
      <alignment horizontal="center" vertical="center"/>
    </xf>
    <xf numFmtId="0" fontId="0" fillId="0" borderId="30" xfId="0" applyBorder="1" applyAlignment="1" applyProtection="1">
      <alignment horizontal="center"/>
      <protection locked="0"/>
    </xf>
    <xf numFmtId="0" fontId="2" fillId="0" borderId="34" xfId="1" applyFont="1" applyBorder="1" applyAlignment="1" applyProtection="1">
      <alignment horizontal="center" vertical="center"/>
      <protection locked="0"/>
    </xf>
    <xf numFmtId="0" fontId="2" fillId="0" borderId="30" xfId="1" applyFont="1" applyBorder="1" applyAlignment="1" applyProtection="1">
      <alignment horizontal="center" vertical="center"/>
      <protection locked="0"/>
    </xf>
    <xf numFmtId="0" fontId="2" fillId="0" borderId="34" xfId="1" applyFont="1" applyBorder="1" applyAlignment="1" applyProtection="1">
      <alignment horizontal="center" vertical="center"/>
    </xf>
    <xf numFmtId="0" fontId="1" fillId="0" borderId="37" xfId="1" applyFont="1" applyBorder="1" applyAlignment="1" applyProtection="1">
      <alignment horizontal="center" vertical="center" wrapText="1"/>
      <protection locked="0"/>
    </xf>
    <xf numFmtId="0" fontId="0" fillId="0" borderId="16" xfId="0" applyBorder="1"/>
    <xf numFmtId="0" fontId="11" fillId="0" borderId="16" xfId="0" applyFont="1" applyBorder="1" applyAlignment="1">
      <alignment horizontal="center" vertical="center"/>
    </xf>
    <xf numFmtId="0" fontId="1" fillId="0" borderId="0" xfId="0" applyFont="1" applyFill="1" applyBorder="1" applyAlignment="1" applyProtection="1">
      <alignment horizontal="center" vertical="center"/>
    </xf>
    <xf numFmtId="0" fontId="0" fillId="0" borderId="9" xfId="0" applyFill="1" applyBorder="1" applyAlignment="1">
      <alignment horizontal="center" vertical="center"/>
    </xf>
    <xf numFmtId="0" fontId="0" fillId="2" borderId="31" xfId="0" applyFill="1" applyBorder="1" applyAlignment="1" applyProtection="1">
      <alignment horizontal="center" vertical="center"/>
    </xf>
    <xf numFmtId="0" fontId="0" fillId="2" borderId="6" xfId="0" applyFill="1" applyBorder="1" applyAlignment="1" applyProtection="1">
      <alignment horizontal="center" vertical="center"/>
    </xf>
    <xf numFmtId="0" fontId="0" fillId="2" borderId="8" xfId="0" applyFill="1" applyBorder="1" applyAlignment="1" applyProtection="1">
      <alignment horizontal="center" vertical="center"/>
    </xf>
    <xf numFmtId="0" fontId="0" fillId="2" borderId="9" xfId="0" applyFill="1" applyBorder="1" applyAlignment="1" applyProtection="1">
      <alignment horizontal="center" vertical="center"/>
    </xf>
    <xf numFmtId="0" fontId="0" fillId="2" borderId="12" xfId="0" applyFill="1" applyBorder="1" applyAlignment="1" applyProtection="1">
      <alignment horizontal="center" vertical="center"/>
    </xf>
    <xf numFmtId="0" fontId="0" fillId="2" borderId="13" xfId="0" applyFill="1" applyBorder="1" applyAlignment="1" applyProtection="1">
      <alignment horizontal="center" vertical="center"/>
    </xf>
    <xf numFmtId="0" fontId="0" fillId="2" borderId="14" xfId="0" applyFill="1" applyBorder="1" applyAlignment="1" applyProtection="1">
      <alignment horizontal="center" vertical="center"/>
    </xf>
    <xf numFmtId="0" fontId="0" fillId="2" borderId="35" xfId="0" applyFill="1" applyBorder="1" applyAlignment="1" applyProtection="1">
      <alignment horizontal="center" vertical="center"/>
    </xf>
    <xf numFmtId="0" fontId="2" fillId="2" borderId="9" xfId="0" applyFont="1" applyFill="1" applyBorder="1" applyAlignment="1" applyProtection="1">
      <alignment horizontal="center" vertical="center"/>
    </xf>
    <xf numFmtId="0" fontId="2" fillId="2" borderId="13" xfId="0" applyFont="1" applyFill="1" applyBorder="1" applyAlignment="1" applyProtection="1">
      <alignment horizontal="center" vertical="center"/>
    </xf>
    <xf numFmtId="0" fontId="0" fillId="0" borderId="0" xfId="0" applyFill="1" applyBorder="1" applyAlignment="1" applyProtection="1">
      <alignment horizontal="center" vertical="center"/>
    </xf>
    <xf numFmtId="2" fontId="0" fillId="0" borderId="38" xfId="0" applyNumberFormat="1" applyBorder="1" applyAlignment="1">
      <alignment horizontal="center"/>
    </xf>
    <xf numFmtId="0" fontId="12" fillId="4" borderId="9" xfId="0" applyFont="1" applyFill="1" applyBorder="1" applyAlignment="1">
      <alignment horizontal="center" vertical="center" wrapText="1"/>
    </xf>
    <xf numFmtId="0" fontId="12" fillId="8" borderId="9" xfId="0" applyFont="1" applyFill="1" applyBorder="1" applyAlignment="1">
      <alignment horizontal="center" vertical="center" wrapText="1"/>
    </xf>
    <xf numFmtId="0" fontId="12" fillId="5" borderId="9" xfId="0" applyFont="1" applyFill="1" applyBorder="1" applyAlignment="1">
      <alignment horizontal="center" vertical="center" wrapText="1"/>
    </xf>
    <xf numFmtId="2" fontId="0" fillId="0" borderId="30" xfId="0" applyNumberFormat="1" applyBorder="1" applyAlignment="1" applyProtection="1">
      <alignment horizontal="center"/>
      <protection locked="0"/>
    </xf>
    <xf numFmtId="0" fontId="6" fillId="0" borderId="29" xfId="0" applyFont="1" applyBorder="1" applyAlignment="1" applyProtection="1">
      <alignment horizontal="center" vertical="center" wrapText="1"/>
    </xf>
    <xf numFmtId="0" fontId="0" fillId="0" borderId="8" xfId="0" applyBorder="1" applyAlignment="1" applyProtection="1">
      <alignment horizontal="center" vertical="center"/>
      <protection locked="0"/>
    </xf>
    <xf numFmtId="0" fontId="0" fillId="0" borderId="8" xfId="0" applyBorder="1" applyAlignment="1" applyProtection="1">
      <alignment horizontal="center" vertical="center"/>
    </xf>
    <xf numFmtId="2" fontId="0" fillId="0" borderId="8" xfId="0" applyNumberFormat="1" applyBorder="1" applyAlignment="1" applyProtection="1">
      <alignment horizontal="center" vertical="center"/>
    </xf>
    <xf numFmtId="165" fontId="0" fillId="0" borderId="30" xfId="0" applyNumberFormat="1" applyBorder="1" applyAlignment="1" applyProtection="1">
      <alignment horizontal="center"/>
      <protection locked="0"/>
    </xf>
    <xf numFmtId="0" fontId="6" fillId="0" borderId="26" xfId="0" applyFont="1" applyBorder="1" applyAlignment="1" applyProtection="1">
      <alignment horizontal="center" vertical="center" wrapText="1"/>
    </xf>
    <xf numFmtId="0" fontId="1" fillId="4" borderId="29" xfId="1" applyFont="1" applyFill="1" applyBorder="1" applyAlignment="1" applyProtection="1">
      <alignment horizontal="center" vertical="center"/>
    </xf>
    <xf numFmtId="0" fontId="1" fillId="4" borderId="29" xfId="1" applyFont="1" applyFill="1" applyBorder="1" applyAlignment="1" applyProtection="1">
      <alignment horizontal="center" vertical="center" wrapText="1"/>
    </xf>
    <xf numFmtId="0" fontId="1" fillId="5" borderId="29" xfId="1" applyFont="1" applyFill="1" applyBorder="1" applyAlignment="1" applyProtection="1">
      <alignment horizontal="center" vertical="center"/>
    </xf>
    <xf numFmtId="0" fontId="1" fillId="5" borderId="29" xfId="1" applyFont="1" applyFill="1" applyBorder="1" applyAlignment="1" applyProtection="1">
      <alignment horizontal="center" vertical="center" wrapText="1"/>
    </xf>
    <xf numFmtId="0" fontId="1" fillId="9" borderId="29" xfId="1" applyFont="1" applyFill="1" applyBorder="1" applyAlignment="1" applyProtection="1">
      <alignment horizontal="center" vertical="center"/>
    </xf>
    <xf numFmtId="0" fontId="1" fillId="9" borderId="29" xfId="1" applyFont="1" applyFill="1" applyBorder="1" applyAlignment="1" applyProtection="1">
      <alignment horizontal="center" vertical="center" wrapText="1"/>
    </xf>
    <xf numFmtId="0" fontId="1" fillId="10" borderId="29" xfId="1" applyFont="1" applyFill="1" applyBorder="1" applyAlignment="1" applyProtection="1">
      <alignment horizontal="center" vertical="center"/>
    </xf>
    <xf numFmtId="0" fontId="1" fillId="10" borderId="29" xfId="1" applyFont="1" applyFill="1" applyBorder="1" applyAlignment="1" applyProtection="1">
      <alignment horizontal="center" vertical="center" wrapText="1"/>
    </xf>
    <xf numFmtId="0" fontId="0" fillId="10" borderId="9" xfId="0" applyFill="1" applyBorder="1" applyAlignment="1">
      <alignment horizontal="center" vertical="center"/>
    </xf>
    <xf numFmtId="0" fontId="12" fillId="10" borderId="9" xfId="0" applyFont="1" applyFill="1" applyBorder="1" applyAlignment="1">
      <alignment horizontal="center" vertical="center" wrapText="1"/>
    </xf>
    <xf numFmtId="0" fontId="0" fillId="4" borderId="16" xfId="0" applyFill="1" applyBorder="1" applyProtection="1"/>
    <xf numFmtId="0" fontId="1" fillId="4" borderId="32" xfId="0" applyFont="1" applyFill="1" applyBorder="1" applyAlignment="1" applyProtection="1">
      <alignment horizontal="right"/>
    </xf>
    <xf numFmtId="0" fontId="1" fillId="4" borderId="2" xfId="0" applyFont="1" applyFill="1" applyBorder="1" applyAlignment="1" applyProtection="1">
      <alignment horizontal="right"/>
    </xf>
    <xf numFmtId="0" fontId="1" fillId="4" borderId="3" xfId="0" applyFont="1" applyFill="1" applyBorder="1" applyAlignment="1" applyProtection="1">
      <alignment horizontal="right"/>
    </xf>
    <xf numFmtId="0" fontId="1" fillId="4" borderId="4" xfId="0" applyFont="1" applyFill="1" applyBorder="1" applyAlignment="1" applyProtection="1">
      <alignment horizontal="center" vertical="center"/>
    </xf>
    <xf numFmtId="0" fontId="1" fillId="4" borderId="7" xfId="0" applyFont="1" applyFill="1" applyBorder="1" applyAlignment="1" applyProtection="1">
      <alignment horizontal="center" vertical="center"/>
    </xf>
    <xf numFmtId="0" fontId="1" fillId="4" borderId="11" xfId="0" applyFont="1" applyFill="1" applyBorder="1" applyAlignment="1" applyProtection="1">
      <alignment horizontal="center" vertical="center"/>
    </xf>
    <xf numFmtId="0" fontId="0" fillId="5" borderId="1" xfId="0" applyFill="1" applyBorder="1" applyProtection="1"/>
    <xf numFmtId="0" fontId="1" fillId="5" borderId="32" xfId="0" applyFont="1" applyFill="1" applyBorder="1" applyAlignment="1" applyProtection="1">
      <alignment horizontal="right"/>
    </xf>
    <xf numFmtId="0" fontId="1" fillId="9" borderId="32" xfId="0" applyFont="1" applyFill="1" applyBorder="1" applyAlignment="1" applyProtection="1">
      <alignment horizontal="right"/>
    </xf>
    <xf numFmtId="0" fontId="1" fillId="5" borderId="4" xfId="0" applyFont="1" applyFill="1" applyBorder="1" applyAlignment="1" applyProtection="1">
      <alignment horizontal="center" vertical="center"/>
    </xf>
    <xf numFmtId="0" fontId="1" fillId="5" borderId="7" xfId="0" applyFont="1" applyFill="1" applyBorder="1" applyAlignment="1" applyProtection="1">
      <alignment horizontal="center" vertical="center"/>
    </xf>
    <xf numFmtId="0" fontId="1" fillId="5" borderId="11" xfId="0" applyFont="1" applyFill="1" applyBorder="1" applyAlignment="1" applyProtection="1">
      <alignment horizontal="center" vertical="center"/>
    </xf>
    <xf numFmtId="0" fontId="0" fillId="9" borderId="16" xfId="0" applyFill="1" applyBorder="1" applyProtection="1"/>
    <xf numFmtId="0" fontId="1" fillId="9" borderId="2" xfId="0" applyFont="1" applyFill="1" applyBorder="1" applyAlignment="1" applyProtection="1">
      <alignment horizontal="right"/>
    </xf>
    <xf numFmtId="0" fontId="1" fillId="9" borderId="3" xfId="0" applyFont="1" applyFill="1" applyBorder="1" applyAlignment="1" applyProtection="1">
      <alignment horizontal="right"/>
    </xf>
    <xf numFmtId="0" fontId="1" fillId="9" borderId="4" xfId="0" applyFont="1" applyFill="1" applyBorder="1" applyAlignment="1" applyProtection="1">
      <alignment horizontal="center" vertical="center"/>
    </xf>
    <xf numFmtId="0" fontId="1" fillId="9" borderId="7" xfId="0" applyFont="1" applyFill="1" applyBorder="1" applyAlignment="1" applyProtection="1">
      <alignment horizontal="center" vertical="center"/>
    </xf>
    <xf numFmtId="0" fontId="1" fillId="9" borderId="11" xfId="0" applyFont="1" applyFill="1" applyBorder="1" applyAlignment="1" applyProtection="1">
      <alignment horizontal="center" vertical="center"/>
    </xf>
    <xf numFmtId="0" fontId="0" fillId="10" borderId="16" xfId="0" applyFill="1" applyBorder="1" applyProtection="1"/>
    <xf numFmtId="0" fontId="1" fillId="10" borderId="32" xfId="0" applyFont="1" applyFill="1" applyBorder="1" applyAlignment="1" applyProtection="1">
      <alignment horizontal="right"/>
    </xf>
    <xf numFmtId="0" fontId="1" fillId="10" borderId="2" xfId="0" applyFont="1" applyFill="1" applyBorder="1" applyAlignment="1" applyProtection="1">
      <alignment horizontal="right"/>
    </xf>
    <xf numFmtId="0" fontId="1" fillId="10" borderId="3" xfId="0" applyFont="1" applyFill="1" applyBorder="1" applyAlignment="1" applyProtection="1">
      <alignment horizontal="right"/>
    </xf>
    <xf numFmtId="0" fontId="1" fillId="10" borderId="4" xfId="0" applyFont="1" applyFill="1" applyBorder="1" applyAlignment="1" applyProtection="1">
      <alignment horizontal="center" vertical="center"/>
    </xf>
    <xf numFmtId="0" fontId="1" fillId="10" borderId="7" xfId="0" applyFont="1" applyFill="1" applyBorder="1" applyAlignment="1" applyProtection="1">
      <alignment horizontal="center" vertical="center"/>
    </xf>
    <xf numFmtId="0" fontId="1" fillId="10" borderId="11" xfId="0" applyFont="1" applyFill="1" applyBorder="1" applyAlignment="1" applyProtection="1">
      <alignment horizontal="center" vertical="center"/>
    </xf>
    <xf numFmtId="0" fontId="0" fillId="0" borderId="9" xfId="0" applyBorder="1" applyAlignment="1">
      <alignment horizontal="center" vertical="center" wrapText="1"/>
    </xf>
    <xf numFmtId="0" fontId="10" fillId="4" borderId="26" xfId="0" applyFont="1" applyFill="1" applyBorder="1" applyAlignment="1" applyProtection="1">
      <alignment horizontal="center" vertical="center"/>
      <protection locked="0"/>
    </xf>
    <xf numFmtId="0" fontId="10" fillId="4" borderId="27" xfId="0" applyFont="1" applyFill="1" applyBorder="1" applyAlignment="1" applyProtection="1">
      <alignment horizontal="center" vertical="center"/>
      <protection locked="0"/>
    </xf>
    <xf numFmtId="0" fontId="10" fillId="4" borderId="28" xfId="0" applyFont="1" applyFill="1" applyBorder="1" applyAlignment="1" applyProtection="1">
      <alignment horizontal="center" vertical="center"/>
      <protection locked="0"/>
    </xf>
    <xf numFmtId="0" fontId="10" fillId="5" borderId="26" xfId="0" applyFont="1" applyFill="1" applyBorder="1" applyAlignment="1" applyProtection="1">
      <alignment horizontal="center" vertical="center"/>
      <protection locked="0"/>
    </xf>
    <xf numFmtId="0" fontId="10" fillId="5" borderId="27" xfId="0" applyFont="1" applyFill="1" applyBorder="1" applyAlignment="1" applyProtection="1">
      <alignment horizontal="center" vertical="center"/>
      <protection locked="0"/>
    </xf>
    <xf numFmtId="0" fontId="10" fillId="5" borderId="28" xfId="0" applyFont="1" applyFill="1" applyBorder="1" applyAlignment="1" applyProtection="1">
      <alignment horizontal="center" vertical="center"/>
      <protection locked="0"/>
    </xf>
    <xf numFmtId="0" fontId="10" fillId="9" borderId="26" xfId="0" applyFont="1" applyFill="1" applyBorder="1" applyAlignment="1" applyProtection="1">
      <alignment horizontal="center" vertical="center"/>
      <protection locked="0"/>
    </xf>
    <xf numFmtId="0" fontId="10" fillId="9" borderId="27" xfId="0" applyFont="1" applyFill="1" applyBorder="1" applyAlignment="1" applyProtection="1">
      <alignment horizontal="center" vertical="center"/>
      <protection locked="0"/>
    </xf>
    <xf numFmtId="0" fontId="10" fillId="9" borderId="28" xfId="0" applyFont="1" applyFill="1" applyBorder="1" applyAlignment="1" applyProtection="1">
      <alignment horizontal="center" vertical="center"/>
      <protection locked="0"/>
    </xf>
    <xf numFmtId="0" fontId="10" fillId="10" borderId="26" xfId="0" applyFont="1" applyFill="1" applyBorder="1" applyAlignment="1" applyProtection="1">
      <alignment horizontal="center" vertical="center"/>
      <protection locked="0"/>
    </xf>
    <xf numFmtId="0" fontId="10" fillId="10" borderId="27" xfId="0" applyFont="1" applyFill="1" applyBorder="1" applyAlignment="1" applyProtection="1">
      <alignment horizontal="center" vertical="center"/>
      <protection locked="0"/>
    </xf>
    <xf numFmtId="0" fontId="10" fillId="10" borderId="28" xfId="0" applyFont="1" applyFill="1" applyBorder="1" applyAlignment="1" applyProtection="1">
      <alignment horizontal="center" vertical="center"/>
      <protection locked="0"/>
    </xf>
    <xf numFmtId="0" fontId="1" fillId="0" borderId="36" xfId="1" applyFont="1" applyBorder="1" applyAlignment="1" applyProtection="1">
      <alignment horizontal="center" vertical="center"/>
    </xf>
    <xf numFmtId="0" fontId="0" fillId="0" borderId="32" xfId="0" applyBorder="1" applyAlignment="1" applyProtection="1">
      <alignment horizontal="center" vertical="center"/>
    </xf>
    <xf numFmtId="0" fontId="10" fillId="0" borderId="26" xfId="0" applyFont="1" applyBorder="1" applyAlignment="1" applyProtection="1">
      <alignment horizontal="center" vertical="center"/>
      <protection locked="0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1" fillId="0" borderId="0" xfId="0" applyFont="1" applyAlignment="1" applyProtection="1">
      <alignment horizontal="center" vertical="center"/>
    </xf>
    <xf numFmtId="0" fontId="0" fillId="0" borderId="0" xfId="0" applyAlignment="1" applyProtection="1"/>
    <xf numFmtId="0" fontId="6" fillId="0" borderId="9" xfId="0" applyFont="1" applyBorder="1" applyAlignment="1">
      <alignment horizontal="center"/>
    </xf>
    <xf numFmtId="0" fontId="6" fillId="0" borderId="29" xfId="0" applyFont="1" applyBorder="1" applyAlignment="1">
      <alignment horizontal="center"/>
    </xf>
    <xf numFmtId="0" fontId="1" fillId="0" borderId="17" xfId="0" applyFont="1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0" fontId="11" fillId="0" borderId="26" xfId="0" applyFont="1" applyBorder="1" applyAlignment="1" applyProtection="1">
      <alignment horizontal="center" vertical="center"/>
      <protection locked="0"/>
    </xf>
    <xf numFmtId="0" fontId="0" fillId="0" borderId="27" xfId="0" applyBorder="1" applyAlignment="1" applyProtection="1">
      <protection locked="0"/>
    </xf>
    <xf numFmtId="0" fontId="0" fillId="0" borderId="28" xfId="0" applyBorder="1" applyAlignment="1" applyProtection="1">
      <protection locked="0"/>
    </xf>
    <xf numFmtId="0" fontId="0" fillId="0" borderId="1" xfId="0" applyBorder="1" applyAlignment="1" applyProtection="1">
      <protection locked="0"/>
    </xf>
    <xf numFmtId="0" fontId="0" fillId="0" borderId="38" xfId="0" applyBorder="1" applyAlignment="1"/>
    <xf numFmtId="0" fontId="0" fillId="0" borderId="39" xfId="0" applyBorder="1" applyAlignment="1"/>
    <xf numFmtId="0" fontId="0" fillId="0" borderId="40" xfId="0" applyBorder="1" applyAlignment="1"/>
    <xf numFmtId="0" fontId="0" fillId="0" borderId="41" xfId="0" applyBorder="1" applyAlignment="1"/>
    <xf numFmtId="0" fontId="0" fillId="0" borderId="42" xfId="0" applyBorder="1" applyAlignment="1"/>
  </cellXfs>
  <cellStyles count="3">
    <cellStyle name="Input" xfId="2" builtinId="20"/>
    <cellStyle name="Normal" xfId="0" builtinId="0"/>
    <cellStyle name="Normal 2" xfId="1" xr:uid="{00000000-0005-0000-0000-000002000000}"/>
  </cellStyles>
  <dxfs count="52"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4" tint="0.79998168889431442"/>
        </patternFill>
      </fill>
    </dxf>
    <dxf>
      <font>
        <color theme="1"/>
      </font>
    </dxf>
    <dxf>
      <font>
        <color rgb="FFFF0000"/>
      </font>
    </dxf>
    <dxf>
      <font>
        <color theme="6" tint="-0.24994659260841701"/>
      </font>
    </dxf>
    <dxf>
      <font>
        <color theme="9" tint="-0.24994659260841701"/>
      </font>
    </dxf>
    <dxf>
      <fill>
        <patternFill>
          <bgColor theme="4" tint="0.79998168889431442"/>
        </patternFill>
      </fill>
    </dxf>
    <dxf>
      <font>
        <color theme="1"/>
      </font>
    </dxf>
    <dxf>
      <font>
        <color rgb="FFFF0000"/>
      </font>
    </dxf>
    <dxf>
      <font>
        <color theme="6" tint="-0.24994659260841701"/>
      </font>
    </dxf>
    <dxf>
      <font>
        <color theme="9" tint="-0.24994659260841701"/>
      </font>
    </dxf>
    <dxf>
      <fill>
        <patternFill>
          <bgColor theme="4" tint="0.79998168889431442"/>
        </patternFill>
      </fill>
    </dxf>
    <dxf>
      <font>
        <color theme="1"/>
      </font>
    </dxf>
    <dxf>
      <font>
        <color rgb="FFFF0000"/>
      </font>
    </dxf>
    <dxf>
      <font>
        <color theme="6" tint="-0.24994659260841701"/>
      </font>
    </dxf>
    <dxf>
      <font>
        <color theme="9" tint="-0.24994659260841701"/>
      </font>
    </dxf>
    <dxf>
      <fill>
        <patternFill>
          <bgColor theme="4" tint="0.79998168889431442"/>
        </patternFill>
      </fill>
    </dxf>
    <dxf>
      <font>
        <color theme="1"/>
      </font>
    </dxf>
    <dxf>
      <font>
        <color rgb="FFFF0000"/>
      </font>
    </dxf>
    <dxf>
      <font>
        <color theme="6" tint="-0.24994659260841701"/>
      </font>
    </dxf>
    <dxf>
      <font>
        <color theme="9" tint="-0.24994659260841701"/>
      </font>
    </dxf>
    <dxf>
      <fill>
        <patternFill>
          <bgColor theme="4" tint="0.7999816888943144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colors>
    <mruColors>
      <color rgb="FFFFFFB3"/>
      <color rgb="FFF6FFC9"/>
      <color rgb="FFEEF3F8"/>
      <color rgb="FFF4F7FA"/>
      <color rgb="FFCAFED0"/>
      <color rgb="FFE0FFD1"/>
      <color rgb="FFFAFFC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180975</xdr:colOff>
      <xdr:row>0</xdr:row>
      <xdr:rowOff>28576</xdr:rowOff>
    </xdr:from>
    <xdr:to>
      <xdr:col>11</xdr:col>
      <xdr:colOff>394335</xdr:colOff>
      <xdr:row>1</xdr:row>
      <xdr:rowOff>41911</xdr:rowOff>
    </xdr:to>
    <xdr:sp macro="[0]!CreateNewPool_Click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8001000" y="28576"/>
          <a:ext cx="1737360" cy="594360"/>
        </a:xfrm>
        <a:prstGeom prst="roundRect">
          <a:avLst/>
        </a:prstGeom>
        <a:solidFill>
          <a:schemeClr val="accent1">
            <a:lumMod val="40000"/>
            <a:lumOff val="60000"/>
          </a:schemeClr>
        </a:solidFill>
        <a:ln>
          <a:noFill/>
        </a:ln>
        <a:effectLst>
          <a:outerShdw blurRad="50800" dist="38100" dir="8100000" algn="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n-US" sz="12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Create New Pool</a:t>
          </a:r>
        </a:p>
      </xdr:txBody>
    </xdr:sp>
    <xdr:clientData/>
  </xdr:twoCellAnchor>
  <xdr:twoCellAnchor>
    <xdr:from>
      <xdr:col>9</xdr:col>
      <xdr:colOff>171449</xdr:colOff>
      <xdr:row>1</xdr:row>
      <xdr:rowOff>95250</xdr:rowOff>
    </xdr:from>
    <xdr:to>
      <xdr:col>11</xdr:col>
      <xdr:colOff>384809</xdr:colOff>
      <xdr:row>1</xdr:row>
      <xdr:rowOff>689610</xdr:rowOff>
    </xdr:to>
    <xdr:sp macro="[0]!DeleteWhiteSamples_Click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7991474" y="676275"/>
          <a:ext cx="1737360" cy="594360"/>
        </a:xfrm>
        <a:prstGeom prst="roundRect">
          <a:avLst/>
        </a:prstGeom>
        <a:solidFill>
          <a:schemeClr val="bg1"/>
        </a:solidFill>
        <a:ln w="6350">
          <a:solidFill>
            <a:schemeClr val="bg1">
              <a:lumMod val="95000"/>
            </a:schemeClr>
          </a:solidFill>
        </a:ln>
        <a:effectLst>
          <a:outerShdw blurRad="50800" dist="38100" dir="8100000" algn="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n-US" sz="12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Delete</a:t>
          </a:r>
          <a:r>
            <a:rPr lang="en-US" sz="1200" baseline="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 Samples not Included in Pools (White)</a:t>
          </a:r>
          <a:endParaRPr lang="en-US" sz="1200">
            <a:solidFill>
              <a:schemeClr val="tx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11</xdr:col>
      <xdr:colOff>552450</xdr:colOff>
      <xdr:row>0</xdr:row>
      <xdr:rowOff>19050</xdr:rowOff>
    </xdr:from>
    <xdr:to>
      <xdr:col>13</xdr:col>
      <xdr:colOff>765810</xdr:colOff>
      <xdr:row>1</xdr:row>
      <xdr:rowOff>32385</xdr:rowOff>
    </xdr:to>
    <xdr:sp macro="[0]!MakeBiomekFile_Click" textlink="">
      <xdr:nvSpPr>
        <xdr:cNvPr id="4" name="Rounded Rectangle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/>
      </xdr:nvSpPr>
      <xdr:spPr>
        <a:xfrm>
          <a:off x="9896475" y="19050"/>
          <a:ext cx="1737360" cy="594360"/>
        </a:xfrm>
        <a:prstGeom prst="roundRect">
          <a:avLst/>
        </a:prstGeom>
        <a:solidFill>
          <a:srgbClr val="FFFFB3"/>
        </a:solidFill>
        <a:ln>
          <a:noFill/>
        </a:ln>
        <a:effectLst>
          <a:outerShdw blurRad="50800" dist="38100" dir="8100000" algn="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n-US" sz="12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Create Biomek Robot File</a:t>
          </a:r>
        </a:p>
      </xdr:txBody>
    </xdr:sp>
    <xdr:clientData/>
  </xdr:twoCellAnchor>
  <xdr:twoCellAnchor>
    <xdr:from>
      <xdr:col>11</xdr:col>
      <xdr:colOff>552449</xdr:colOff>
      <xdr:row>1</xdr:row>
      <xdr:rowOff>104775</xdr:rowOff>
    </xdr:from>
    <xdr:to>
      <xdr:col>13</xdr:col>
      <xdr:colOff>765809</xdr:colOff>
      <xdr:row>1</xdr:row>
      <xdr:rowOff>699135</xdr:rowOff>
    </xdr:to>
    <xdr:sp macro="[0]!MakeTecanFile_Click" textlink="">
      <xdr:nvSpPr>
        <xdr:cNvPr id="5" name="Rounded Rectangle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>
          <a:off x="9896474" y="685800"/>
          <a:ext cx="1737360" cy="594360"/>
        </a:xfrm>
        <a:prstGeom prst="roundRect">
          <a:avLst/>
        </a:prstGeom>
        <a:solidFill>
          <a:srgbClr val="FFFFB3"/>
        </a:solidFill>
        <a:ln>
          <a:noFill/>
        </a:ln>
        <a:effectLst>
          <a:outerShdw blurRad="50800" dist="38100" dir="8100000" algn="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n-US" sz="12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Create Tecan Robot File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100"/>
  <sheetViews>
    <sheetView topLeftCell="A95" workbookViewId="0">
      <selection activeCell="G18" sqref="G18"/>
    </sheetView>
  </sheetViews>
  <sheetFormatPr baseColWidth="10" defaultColWidth="8.83203125" defaultRowHeight="15" x14ac:dyDescent="0.2"/>
  <cols>
    <col min="2" max="3" width="20.6640625" customWidth="1"/>
    <col min="6" max="7" width="20.6640625" customWidth="1"/>
    <col min="10" max="11" width="20.6640625" customWidth="1"/>
    <col min="14" max="15" width="20.6640625" customWidth="1"/>
  </cols>
  <sheetData>
    <row r="1" spans="1:15" ht="33" customHeight="1" thickBot="1" x14ac:dyDescent="0.25">
      <c r="A1" s="132" t="s">
        <v>243</v>
      </c>
      <c r="B1" s="133"/>
      <c r="C1" s="134"/>
      <c r="E1" s="135" t="s">
        <v>244</v>
      </c>
      <c r="F1" s="136"/>
      <c r="G1" s="137"/>
      <c r="I1" s="138" t="s">
        <v>245</v>
      </c>
      <c r="J1" s="139"/>
      <c r="K1" s="140"/>
      <c r="M1" s="141" t="s">
        <v>246</v>
      </c>
      <c r="N1" s="142"/>
      <c r="O1" s="143"/>
    </row>
    <row r="2" spans="1:15" ht="33" customHeight="1" thickBot="1" x14ac:dyDescent="0.25">
      <c r="A2" s="146" t="s">
        <v>338</v>
      </c>
      <c r="B2" s="147"/>
      <c r="C2" s="148"/>
      <c r="E2" s="146" t="s">
        <v>250</v>
      </c>
      <c r="F2" s="147"/>
      <c r="G2" s="148"/>
      <c r="I2" s="146" t="s">
        <v>250</v>
      </c>
      <c r="J2" s="147"/>
      <c r="K2" s="148"/>
      <c r="M2" s="146" t="s">
        <v>250</v>
      </c>
      <c r="N2" s="147"/>
      <c r="O2" s="148"/>
    </row>
    <row r="3" spans="1:15" ht="16" thickBot="1" x14ac:dyDescent="0.25">
      <c r="A3" s="144" t="s">
        <v>155</v>
      </c>
      <c r="B3" s="145"/>
      <c r="C3" s="68">
        <v>1000</v>
      </c>
      <c r="E3" s="144" t="s">
        <v>155</v>
      </c>
      <c r="F3" s="145"/>
      <c r="G3" s="68">
        <v>1000</v>
      </c>
      <c r="I3" s="144" t="s">
        <v>155</v>
      </c>
      <c r="J3" s="145"/>
      <c r="K3" s="68">
        <v>1000</v>
      </c>
      <c r="M3" s="144" t="s">
        <v>155</v>
      </c>
      <c r="N3" s="145"/>
      <c r="O3" s="68">
        <v>1000</v>
      </c>
    </row>
    <row r="4" spans="1:15" s="33" customFormat="1" ht="16" thickBot="1" x14ac:dyDescent="0.25">
      <c r="A4" s="95" t="s">
        <v>41</v>
      </c>
      <c r="B4" s="96" t="s">
        <v>34</v>
      </c>
      <c r="C4" s="96" t="s">
        <v>153</v>
      </c>
      <c r="E4" s="97" t="s">
        <v>41</v>
      </c>
      <c r="F4" s="98" t="s">
        <v>34</v>
      </c>
      <c r="G4" s="98" t="s">
        <v>153</v>
      </c>
      <c r="I4" s="99" t="s">
        <v>41</v>
      </c>
      <c r="J4" s="100" t="s">
        <v>34</v>
      </c>
      <c r="K4" s="100" t="s">
        <v>153</v>
      </c>
      <c r="M4" s="101" t="s">
        <v>41</v>
      </c>
      <c r="N4" s="102" t="s">
        <v>34</v>
      </c>
      <c r="O4" s="102" t="s">
        <v>153</v>
      </c>
    </row>
    <row r="5" spans="1:15" ht="16" thickBot="1" x14ac:dyDescent="0.25">
      <c r="A5" s="95" t="s">
        <v>43</v>
      </c>
      <c r="B5" s="65" t="s">
        <v>254</v>
      </c>
      <c r="C5" s="66" t="s">
        <v>253</v>
      </c>
      <c r="E5" s="97" t="s">
        <v>43</v>
      </c>
      <c r="F5" s="65"/>
      <c r="G5" s="66"/>
      <c r="I5" s="99" t="s">
        <v>43</v>
      </c>
      <c r="J5" s="65"/>
      <c r="K5" s="66"/>
      <c r="M5" s="101" t="s">
        <v>43</v>
      </c>
      <c r="N5" s="65"/>
      <c r="O5" s="66"/>
    </row>
    <row r="6" spans="1:15" ht="16" thickBot="1" x14ac:dyDescent="0.25">
      <c r="A6" s="95" t="s">
        <v>44</v>
      </c>
      <c r="B6" s="65" t="s">
        <v>255</v>
      </c>
      <c r="C6" s="66" t="s">
        <v>253</v>
      </c>
      <c r="E6" s="97" t="s">
        <v>44</v>
      </c>
      <c r="F6" s="65"/>
      <c r="G6" s="66"/>
      <c r="I6" s="99" t="s">
        <v>44</v>
      </c>
      <c r="J6" s="65"/>
      <c r="K6" s="66"/>
      <c r="M6" s="101" t="s">
        <v>44</v>
      </c>
      <c r="N6" s="65"/>
      <c r="O6" s="66"/>
    </row>
    <row r="7" spans="1:15" ht="16" thickBot="1" x14ac:dyDescent="0.25">
      <c r="A7" s="95" t="s">
        <v>45</v>
      </c>
      <c r="B7" s="65" t="s">
        <v>256</v>
      </c>
      <c r="C7" s="66" t="s">
        <v>253</v>
      </c>
      <c r="E7" s="97" t="s">
        <v>45</v>
      </c>
      <c r="F7" s="65"/>
      <c r="G7" s="66"/>
      <c r="I7" s="99" t="s">
        <v>45</v>
      </c>
      <c r="J7" s="65"/>
      <c r="K7" s="66"/>
      <c r="M7" s="101" t="s">
        <v>45</v>
      </c>
      <c r="N7" s="65"/>
      <c r="O7" s="66"/>
    </row>
    <row r="8" spans="1:15" ht="16" thickBot="1" x14ac:dyDescent="0.25">
      <c r="A8" s="95" t="s">
        <v>46</v>
      </c>
      <c r="B8" s="65" t="s">
        <v>257</v>
      </c>
      <c r="C8" s="66" t="s">
        <v>253</v>
      </c>
      <c r="E8" s="97" t="s">
        <v>46</v>
      </c>
      <c r="F8" s="65"/>
      <c r="G8" s="66"/>
      <c r="I8" s="99" t="s">
        <v>46</v>
      </c>
      <c r="J8" s="65"/>
      <c r="K8" s="66"/>
      <c r="M8" s="101" t="s">
        <v>46</v>
      </c>
      <c r="N8" s="65"/>
      <c r="O8" s="66"/>
    </row>
    <row r="9" spans="1:15" ht="16" thickBot="1" x14ac:dyDescent="0.25">
      <c r="A9" s="95" t="s">
        <v>47</v>
      </c>
      <c r="B9" s="65" t="s">
        <v>258</v>
      </c>
      <c r="C9" s="66" t="s">
        <v>253</v>
      </c>
      <c r="E9" s="97" t="s">
        <v>47</v>
      </c>
      <c r="F9" s="65"/>
      <c r="G9" s="66"/>
      <c r="I9" s="99" t="s">
        <v>47</v>
      </c>
      <c r="J9" s="65"/>
      <c r="K9" s="66"/>
      <c r="M9" s="101" t="s">
        <v>47</v>
      </c>
      <c r="N9" s="65"/>
      <c r="O9" s="66"/>
    </row>
    <row r="10" spans="1:15" ht="16" thickBot="1" x14ac:dyDescent="0.25">
      <c r="A10" s="95" t="s">
        <v>48</v>
      </c>
      <c r="B10" s="65" t="s">
        <v>259</v>
      </c>
      <c r="C10" s="66" t="s">
        <v>253</v>
      </c>
      <c r="E10" s="97" t="s">
        <v>48</v>
      </c>
      <c r="F10" s="65"/>
      <c r="G10" s="66"/>
      <c r="I10" s="99" t="s">
        <v>48</v>
      </c>
      <c r="J10" s="65"/>
      <c r="K10" s="66"/>
      <c r="M10" s="101" t="s">
        <v>48</v>
      </c>
      <c r="N10" s="65"/>
      <c r="O10" s="66"/>
    </row>
    <row r="11" spans="1:15" ht="16" thickBot="1" x14ac:dyDescent="0.25">
      <c r="A11" s="95" t="s">
        <v>49</v>
      </c>
      <c r="B11" s="65" t="s">
        <v>260</v>
      </c>
      <c r="C11" s="66" t="s">
        <v>253</v>
      </c>
      <c r="E11" s="97" t="s">
        <v>49</v>
      </c>
      <c r="F11" s="65"/>
      <c r="G11" s="66"/>
      <c r="I11" s="99" t="s">
        <v>49</v>
      </c>
      <c r="J11" s="65"/>
      <c r="K11" s="66"/>
      <c r="M11" s="101" t="s">
        <v>49</v>
      </c>
      <c r="N11" s="65"/>
      <c r="O11" s="66"/>
    </row>
    <row r="12" spans="1:15" ht="16" thickBot="1" x14ac:dyDescent="0.25">
      <c r="A12" s="95" t="s">
        <v>50</v>
      </c>
      <c r="B12" s="65" t="s">
        <v>261</v>
      </c>
      <c r="C12" s="66" t="s">
        <v>253</v>
      </c>
      <c r="E12" s="97" t="s">
        <v>50</v>
      </c>
      <c r="F12" s="65"/>
      <c r="G12" s="66"/>
      <c r="I12" s="99" t="s">
        <v>50</v>
      </c>
      <c r="J12" s="65"/>
      <c r="K12" s="66"/>
      <c r="M12" s="101" t="s">
        <v>50</v>
      </c>
      <c r="N12" s="65"/>
      <c r="O12" s="66"/>
    </row>
    <row r="13" spans="1:15" ht="16" thickBot="1" x14ac:dyDescent="0.25">
      <c r="A13" s="95" t="s">
        <v>51</v>
      </c>
      <c r="B13" s="65" t="s">
        <v>262</v>
      </c>
      <c r="C13" s="66" t="s">
        <v>253</v>
      </c>
      <c r="E13" s="97" t="s">
        <v>51</v>
      </c>
      <c r="F13" s="65"/>
      <c r="G13" s="66"/>
      <c r="I13" s="99" t="s">
        <v>51</v>
      </c>
      <c r="J13" s="65"/>
      <c r="K13" s="66"/>
      <c r="M13" s="101" t="s">
        <v>51</v>
      </c>
      <c r="N13" s="65"/>
      <c r="O13" s="66"/>
    </row>
    <row r="14" spans="1:15" ht="16" thickBot="1" x14ac:dyDescent="0.25">
      <c r="A14" s="95" t="s">
        <v>52</v>
      </c>
      <c r="B14" s="65" t="s">
        <v>263</v>
      </c>
      <c r="C14" s="66" t="s">
        <v>253</v>
      </c>
      <c r="E14" s="97" t="s">
        <v>52</v>
      </c>
      <c r="F14" s="65"/>
      <c r="G14" s="66"/>
      <c r="I14" s="99" t="s">
        <v>52</v>
      </c>
      <c r="J14" s="65"/>
      <c r="K14" s="66"/>
      <c r="M14" s="101" t="s">
        <v>52</v>
      </c>
      <c r="N14" s="65"/>
      <c r="O14" s="66"/>
    </row>
    <row r="15" spans="1:15" ht="16" thickBot="1" x14ac:dyDescent="0.25">
      <c r="A15" s="95" t="s">
        <v>53</v>
      </c>
      <c r="B15" s="65" t="s">
        <v>264</v>
      </c>
      <c r="C15" s="66" t="s">
        <v>253</v>
      </c>
      <c r="E15" s="97" t="s">
        <v>53</v>
      </c>
      <c r="F15" s="65"/>
      <c r="G15" s="66"/>
      <c r="I15" s="99" t="s">
        <v>53</v>
      </c>
      <c r="J15" s="65"/>
      <c r="K15" s="66"/>
      <c r="M15" s="101" t="s">
        <v>53</v>
      </c>
      <c r="N15" s="65"/>
      <c r="O15" s="66"/>
    </row>
    <row r="16" spans="1:15" ht="16" thickBot="1" x14ac:dyDescent="0.25">
      <c r="A16" s="95" t="s">
        <v>54</v>
      </c>
      <c r="B16" s="65" t="s">
        <v>265</v>
      </c>
      <c r="C16" s="66" t="s">
        <v>253</v>
      </c>
      <c r="E16" s="97" t="s">
        <v>54</v>
      </c>
      <c r="F16" s="65"/>
      <c r="G16" s="66"/>
      <c r="I16" s="99" t="s">
        <v>54</v>
      </c>
      <c r="J16" s="65"/>
      <c r="K16" s="66"/>
      <c r="M16" s="101" t="s">
        <v>54</v>
      </c>
      <c r="N16" s="65"/>
      <c r="O16" s="66"/>
    </row>
    <row r="17" spans="1:15" ht="16" thickBot="1" x14ac:dyDescent="0.25">
      <c r="A17" s="95" t="s">
        <v>55</v>
      </c>
      <c r="B17" s="65" t="s">
        <v>266</v>
      </c>
      <c r="C17" s="66" t="s">
        <v>253</v>
      </c>
      <c r="E17" s="97" t="s">
        <v>55</v>
      </c>
      <c r="F17" s="65"/>
      <c r="G17" s="66"/>
      <c r="I17" s="99" t="s">
        <v>55</v>
      </c>
      <c r="J17" s="65"/>
      <c r="K17" s="66"/>
      <c r="M17" s="101" t="s">
        <v>55</v>
      </c>
      <c r="N17" s="65"/>
      <c r="O17" s="66"/>
    </row>
    <row r="18" spans="1:15" ht="16" thickBot="1" x14ac:dyDescent="0.25">
      <c r="A18" s="95" t="s">
        <v>56</v>
      </c>
      <c r="B18" s="65" t="s">
        <v>267</v>
      </c>
      <c r="C18" s="66" t="s">
        <v>253</v>
      </c>
      <c r="E18" s="97" t="s">
        <v>56</v>
      </c>
      <c r="F18" s="65"/>
      <c r="G18" s="66"/>
      <c r="I18" s="99" t="s">
        <v>56</v>
      </c>
      <c r="J18" s="65"/>
      <c r="K18" s="66"/>
      <c r="M18" s="101" t="s">
        <v>56</v>
      </c>
      <c r="N18" s="65"/>
      <c r="O18" s="66"/>
    </row>
    <row r="19" spans="1:15" ht="16" thickBot="1" x14ac:dyDescent="0.25">
      <c r="A19" s="95" t="s">
        <v>57</v>
      </c>
      <c r="B19" s="65" t="s">
        <v>268</v>
      </c>
      <c r="C19" s="66" t="s">
        <v>253</v>
      </c>
      <c r="E19" s="97" t="s">
        <v>57</v>
      </c>
      <c r="F19" s="65"/>
      <c r="G19" s="66"/>
      <c r="I19" s="99" t="s">
        <v>57</v>
      </c>
      <c r="J19" s="65"/>
      <c r="K19" s="66"/>
      <c r="M19" s="101" t="s">
        <v>57</v>
      </c>
      <c r="N19" s="65"/>
      <c r="O19" s="66"/>
    </row>
    <row r="20" spans="1:15" ht="16" thickBot="1" x14ac:dyDescent="0.25">
      <c r="A20" s="95" t="s">
        <v>58</v>
      </c>
      <c r="B20" s="65" t="s">
        <v>269</v>
      </c>
      <c r="C20" s="66" t="s">
        <v>253</v>
      </c>
      <c r="E20" s="97" t="s">
        <v>58</v>
      </c>
      <c r="F20" s="65"/>
      <c r="G20" s="66"/>
      <c r="I20" s="99" t="s">
        <v>58</v>
      </c>
      <c r="J20" s="65"/>
      <c r="K20" s="66"/>
      <c r="M20" s="101" t="s">
        <v>58</v>
      </c>
      <c r="N20" s="65"/>
      <c r="O20" s="66"/>
    </row>
    <row r="21" spans="1:15" ht="16" thickBot="1" x14ac:dyDescent="0.25">
      <c r="A21" s="95" t="s">
        <v>59</v>
      </c>
      <c r="B21" s="65" t="s">
        <v>270</v>
      </c>
      <c r="C21" s="66" t="s">
        <v>253</v>
      </c>
      <c r="E21" s="97" t="s">
        <v>59</v>
      </c>
      <c r="F21" s="65"/>
      <c r="G21" s="66"/>
      <c r="I21" s="99" t="s">
        <v>59</v>
      </c>
      <c r="J21" s="65"/>
      <c r="K21" s="66"/>
      <c r="M21" s="101" t="s">
        <v>59</v>
      </c>
      <c r="N21" s="65"/>
      <c r="O21" s="66"/>
    </row>
    <row r="22" spans="1:15" ht="16" thickBot="1" x14ac:dyDescent="0.25">
      <c r="A22" s="95" t="s">
        <v>60</v>
      </c>
      <c r="B22" s="65" t="s">
        <v>271</v>
      </c>
      <c r="C22" s="66" t="s">
        <v>253</v>
      </c>
      <c r="E22" s="97" t="s">
        <v>60</v>
      </c>
      <c r="F22" s="65"/>
      <c r="G22" s="66"/>
      <c r="I22" s="99" t="s">
        <v>60</v>
      </c>
      <c r="J22" s="65"/>
      <c r="K22" s="66"/>
      <c r="M22" s="101" t="s">
        <v>60</v>
      </c>
      <c r="N22" s="65"/>
      <c r="O22" s="66"/>
    </row>
    <row r="23" spans="1:15" ht="16" thickBot="1" x14ac:dyDescent="0.25">
      <c r="A23" s="95" t="s">
        <v>61</v>
      </c>
      <c r="B23" s="65" t="s">
        <v>272</v>
      </c>
      <c r="C23" s="66" t="s">
        <v>253</v>
      </c>
      <c r="E23" s="97" t="s">
        <v>61</v>
      </c>
      <c r="F23" s="65"/>
      <c r="G23" s="66"/>
      <c r="I23" s="99" t="s">
        <v>61</v>
      </c>
      <c r="J23" s="65"/>
      <c r="K23" s="66"/>
      <c r="M23" s="101" t="s">
        <v>61</v>
      </c>
      <c r="N23" s="65"/>
      <c r="O23" s="66"/>
    </row>
    <row r="24" spans="1:15" ht="16" thickBot="1" x14ac:dyDescent="0.25">
      <c r="A24" s="95" t="s">
        <v>62</v>
      </c>
      <c r="B24" s="65" t="s">
        <v>273</v>
      </c>
      <c r="C24" s="66" t="s">
        <v>253</v>
      </c>
      <c r="E24" s="97" t="s">
        <v>62</v>
      </c>
      <c r="F24" s="65"/>
      <c r="G24" s="66"/>
      <c r="I24" s="99" t="s">
        <v>62</v>
      </c>
      <c r="J24" s="65"/>
      <c r="K24" s="66"/>
      <c r="M24" s="101" t="s">
        <v>62</v>
      </c>
      <c r="N24" s="65"/>
      <c r="O24" s="66"/>
    </row>
    <row r="25" spans="1:15" ht="16" thickBot="1" x14ac:dyDescent="0.25">
      <c r="A25" s="95" t="s">
        <v>63</v>
      </c>
      <c r="B25" s="65" t="s">
        <v>274</v>
      </c>
      <c r="C25" s="66" t="s">
        <v>253</v>
      </c>
      <c r="E25" s="97" t="s">
        <v>63</v>
      </c>
      <c r="F25" s="65"/>
      <c r="G25" s="66"/>
      <c r="I25" s="99" t="s">
        <v>63</v>
      </c>
      <c r="J25" s="65"/>
      <c r="K25" s="66"/>
      <c r="M25" s="101" t="s">
        <v>63</v>
      </c>
      <c r="N25" s="65"/>
      <c r="O25" s="66"/>
    </row>
    <row r="26" spans="1:15" ht="16" thickBot="1" x14ac:dyDescent="0.25">
      <c r="A26" s="95" t="s">
        <v>64</v>
      </c>
      <c r="B26" s="65" t="s">
        <v>275</v>
      </c>
      <c r="C26" s="66" t="s">
        <v>253</v>
      </c>
      <c r="E26" s="97" t="s">
        <v>64</v>
      </c>
      <c r="F26" s="65"/>
      <c r="G26" s="66"/>
      <c r="I26" s="99" t="s">
        <v>64</v>
      </c>
      <c r="J26" s="65"/>
      <c r="K26" s="66"/>
      <c r="M26" s="101" t="s">
        <v>64</v>
      </c>
      <c r="N26" s="65"/>
      <c r="O26" s="66"/>
    </row>
    <row r="27" spans="1:15" ht="16" thickBot="1" x14ac:dyDescent="0.25">
      <c r="A27" s="95" t="s">
        <v>65</v>
      </c>
      <c r="B27" s="65" t="s">
        <v>276</v>
      </c>
      <c r="C27" s="66" t="s">
        <v>253</v>
      </c>
      <c r="E27" s="97" t="s">
        <v>65</v>
      </c>
      <c r="F27" s="65"/>
      <c r="G27" s="66"/>
      <c r="I27" s="99" t="s">
        <v>65</v>
      </c>
      <c r="J27" s="65"/>
      <c r="K27" s="66"/>
      <c r="M27" s="101" t="s">
        <v>65</v>
      </c>
      <c r="N27" s="65"/>
      <c r="O27" s="66"/>
    </row>
    <row r="28" spans="1:15" ht="16" thickBot="1" x14ac:dyDescent="0.25">
      <c r="A28" s="95" t="s">
        <v>66</v>
      </c>
      <c r="B28" s="65" t="s">
        <v>277</v>
      </c>
      <c r="C28" s="66" t="s">
        <v>253</v>
      </c>
      <c r="E28" s="97" t="s">
        <v>66</v>
      </c>
      <c r="F28" s="65"/>
      <c r="G28" s="66"/>
      <c r="I28" s="99" t="s">
        <v>66</v>
      </c>
      <c r="J28" s="65"/>
      <c r="K28" s="66"/>
      <c r="M28" s="101" t="s">
        <v>66</v>
      </c>
      <c r="N28" s="65"/>
      <c r="O28" s="66"/>
    </row>
    <row r="29" spans="1:15" ht="16" thickBot="1" x14ac:dyDescent="0.25">
      <c r="A29" s="95" t="s">
        <v>67</v>
      </c>
      <c r="B29" s="65" t="s">
        <v>278</v>
      </c>
      <c r="C29" s="66" t="s">
        <v>253</v>
      </c>
      <c r="E29" s="97" t="s">
        <v>67</v>
      </c>
      <c r="F29" s="65"/>
      <c r="G29" s="66"/>
      <c r="I29" s="99" t="s">
        <v>67</v>
      </c>
      <c r="J29" s="65"/>
      <c r="K29" s="66"/>
      <c r="M29" s="101" t="s">
        <v>67</v>
      </c>
      <c r="N29" s="65"/>
      <c r="O29" s="66"/>
    </row>
    <row r="30" spans="1:15" ht="16" thickBot="1" x14ac:dyDescent="0.25">
      <c r="A30" s="95" t="s">
        <v>68</v>
      </c>
      <c r="B30" s="65" t="s">
        <v>279</v>
      </c>
      <c r="C30" s="66" t="s">
        <v>253</v>
      </c>
      <c r="E30" s="97" t="s">
        <v>68</v>
      </c>
      <c r="F30" s="65"/>
      <c r="G30" s="66"/>
      <c r="I30" s="99" t="s">
        <v>68</v>
      </c>
      <c r="J30" s="65"/>
      <c r="K30" s="66"/>
      <c r="M30" s="101" t="s">
        <v>68</v>
      </c>
      <c r="N30" s="65"/>
      <c r="O30" s="66"/>
    </row>
    <row r="31" spans="1:15" ht="16" thickBot="1" x14ac:dyDescent="0.25">
      <c r="A31" s="95" t="s">
        <v>69</v>
      </c>
      <c r="B31" s="65" t="s">
        <v>280</v>
      </c>
      <c r="C31" s="66" t="s">
        <v>253</v>
      </c>
      <c r="E31" s="97" t="s">
        <v>69</v>
      </c>
      <c r="F31" s="65"/>
      <c r="G31" s="66"/>
      <c r="I31" s="99" t="s">
        <v>69</v>
      </c>
      <c r="J31" s="65"/>
      <c r="K31" s="66"/>
      <c r="M31" s="101" t="s">
        <v>69</v>
      </c>
      <c r="N31" s="65"/>
      <c r="O31" s="66"/>
    </row>
    <row r="32" spans="1:15" ht="16" thickBot="1" x14ac:dyDescent="0.25">
      <c r="A32" s="95" t="s">
        <v>70</v>
      </c>
      <c r="B32" s="65" t="s">
        <v>281</v>
      </c>
      <c r="C32" s="66" t="s">
        <v>253</v>
      </c>
      <c r="E32" s="97" t="s">
        <v>70</v>
      </c>
      <c r="F32" s="65"/>
      <c r="G32" s="66"/>
      <c r="I32" s="99" t="s">
        <v>70</v>
      </c>
      <c r="J32" s="65"/>
      <c r="K32" s="66"/>
      <c r="M32" s="101" t="s">
        <v>70</v>
      </c>
      <c r="N32" s="65"/>
      <c r="O32" s="66"/>
    </row>
    <row r="33" spans="1:15" ht="16" thickBot="1" x14ac:dyDescent="0.25">
      <c r="A33" s="95" t="s">
        <v>71</v>
      </c>
      <c r="B33" s="65" t="s">
        <v>282</v>
      </c>
      <c r="C33" s="66" t="s">
        <v>253</v>
      </c>
      <c r="E33" s="97" t="s">
        <v>71</v>
      </c>
      <c r="F33" s="65"/>
      <c r="G33" s="66"/>
      <c r="I33" s="99" t="s">
        <v>71</v>
      </c>
      <c r="J33" s="65"/>
      <c r="K33" s="66"/>
      <c r="M33" s="101" t="s">
        <v>71</v>
      </c>
      <c r="N33" s="65"/>
      <c r="O33" s="66"/>
    </row>
    <row r="34" spans="1:15" ht="16" thickBot="1" x14ac:dyDescent="0.25">
      <c r="A34" s="95" t="s">
        <v>72</v>
      </c>
      <c r="B34" s="65" t="s">
        <v>283</v>
      </c>
      <c r="C34" s="66" t="s">
        <v>253</v>
      </c>
      <c r="E34" s="97" t="s">
        <v>72</v>
      </c>
      <c r="F34" s="65"/>
      <c r="G34" s="66"/>
      <c r="I34" s="99" t="s">
        <v>72</v>
      </c>
      <c r="J34" s="65"/>
      <c r="K34" s="66"/>
      <c r="M34" s="101" t="s">
        <v>72</v>
      </c>
      <c r="N34" s="65"/>
      <c r="O34" s="66"/>
    </row>
    <row r="35" spans="1:15" ht="16" thickBot="1" x14ac:dyDescent="0.25">
      <c r="A35" s="95" t="s">
        <v>73</v>
      </c>
      <c r="B35" s="65" t="s">
        <v>284</v>
      </c>
      <c r="C35" s="66" t="s">
        <v>253</v>
      </c>
      <c r="E35" s="97" t="s">
        <v>73</v>
      </c>
      <c r="F35" s="65"/>
      <c r="G35" s="66"/>
      <c r="I35" s="99" t="s">
        <v>73</v>
      </c>
      <c r="J35" s="65"/>
      <c r="K35" s="66"/>
      <c r="M35" s="101" t="s">
        <v>73</v>
      </c>
      <c r="N35" s="65"/>
      <c r="O35" s="66"/>
    </row>
    <row r="36" spans="1:15" ht="16" thickBot="1" x14ac:dyDescent="0.25">
      <c r="A36" s="95" t="s">
        <v>74</v>
      </c>
      <c r="B36" s="65" t="s">
        <v>285</v>
      </c>
      <c r="C36" s="66" t="s">
        <v>253</v>
      </c>
      <c r="E36" s="97" t="s">
        <v>74</v>
      </c>
      <c r="F36" s="65"/>
      <c r="G36" s="66"/>
      <c r="I36" s="99" t="s">
        <v>74</v>
      </c>
      <c r="J36" s="65"/>
      <c r="K36" s="66"/>
      <c r="M36" s="101" t="s">
        <v>74</v>
      </c>
      <c r="N36" s="65"/>
      <c r="O36" s="66"/>
    </row>
    <row r="37" spans="1:15" ht="16" thickBot="1" x14ac:dyDescent="0.25">
      <c r="A37" s="95" t="s">
        <v>75</v>
      </c>
      <c r="B37" s="65" t="s">
        <v>286</v>
      </c>
      <c r="C37" s="66" t="s">
        <v>253</v>
      </c>
      <c r="E37" s="97" t="s">
        <v>75</v>
      </c>
      <c r="F37" s="65"/>
      <c r="G37" s="66"/>
      <c r="I37" s="99" t="s">
        <v>75</v>
      </c>
      <c r="J37" s="65"/>
      <c r="K37" s="66"/>
      <c r="M37" s="101" t="s">
        <v>75</v>
      </c>
      <c r="N37" s="65"/>
      <c r="O37" s="66"/>
    </row>
    <row r="38" spans="1:15" ht="16" thickBot="1" x14ac:dyDescent="0.25">
      <c r="A38" s="95" t="s">
        <v>76</v>
      </c>
      <c r="B38" s="65" t="s">
        <v>287</v>
      </c>
      <c r="C38" s="66" t="s">
        <v>253</v>
      </c>
      <c r="E38" s="97" t="s">
        <v>76</v>
      </c>
      <c r="F38" s="65"/>
      <c r="G38" s="66"/>
      <c r="I38" s="99" t="s">
        <v>76</v>
      </c>
      <c r="J38" s="65"/>
      <c r="K38" s="66"/>
      <c r="M38" s="101" t="s">
        <v>76</v>
      </c>
      <c r="N38" s="65"/>
      <c r="O38" s="66"/>
    </row>
    <row r="39" spans="1:15" ht="16" thickBot="1" x14ac:dyDescent="0.25">
      <c r="A39" s="95" t="s">
        <v>77</v>
      </c>
      <c r="B39" s="65" t="s">
        <v>288</v>
      </c>
      <c r="C39" s="66" t="s">
        <v>253</v>
      </c>
      <c r="E39" s="97" t="s">
        <v>77</v>
      </c>
      <c r="F39" s="65"/>
      <c r="G39" s="66"/>
      <c r="I39" s="99" t="s">
        <v>77</v>
      </c>
      <c r="J39" s="65"/>
      <c r="K39" s="66"/>
      <c r="M39" s="101" t="s">
        <v>77</v>
      </c>
      <c r="N39" s="65"/>
      <c r="O39" s="66"/>
    </row>
    <row r="40" spans="1:15" ht="16" thickBot="1" x14ac:dyDescent="0.25">
      <c r="A40" s="95" t="s">
        <v>78</v>
      </c>
      <c r="B40" s="65" t="s">
        <v>289</v>
      </c>
      <c r="C40" s="66" t="s">
        <v>253</v>
      </c>
      <c r="E40" s="97" t="s">
        <v>78</v>
      </c>
      <c r="F40" s="65"/>
      <c r="G40" s="66"/>
      <c r="I40" s="99" t="s">
        <v>78</v>
      </c>
      <c r="J40" s="65"/>
      <c r="K40" s="66"/>
      <c r="M40" s="101" t="s">
        <v>78</v>
      </c>
      <c r="N40" s="65"/>
      <c r="O40" s="66"/>
    </row>
    <row r="41" spans="1:15" ht="16" thickBot="1" x14ac:dyDescent="0.25">
      <c r="A41" s="95" t="s">
        <v>79</v>
      </c>
      <c r="B41" s="65" t="s">
        <v>290</v>
      </c>
      <c r="C41" s="66" t="s">
        <v>253</v>
      </c>
      <c r="E41" s="97" t="s">
        <v>79</v>
      </c>
      <c r="F41" s="65"/>
      <c r="G41" s="66"/>
      <c r="I41" s="99" t="s">
        <v>79</v>
      </c>
      <c r="J41" s="65"/>
      <c r="K41" s="66"/>
      <c r="M41" s="101" t="s">
        <v>79</v>
      </c>
      <c r="N41" s="65"/>
      <c r="O41" s="66"/>
    </row>
    <row r="42" spans="1:15" ht="16" thickBot="1" x14ac:dyDescent="0.25">
      <c r="A42" s="95" t="s">
        <v>80</v>
      </c>
      <c r="B42" s="65" t="s">
        <v>291</v>
      </c>
      <c r="C42" s="66" t="s">
        <v>253</v>
      </c>
      <c r="E42" s="97" t="s">
        <v>80</v>
      </c>
      <c r="F42" s="65"/>
      <c r="G42" s="66"/>
      <c r="I42" s="99" t="s">
        <v>80</v>
      </c>
      <c r="J42" s="65"/>
      <c r="K42" s="66"/>
      <c r="M42" s="101" t="s">
        <v>80</v>
      </c>
      <c r="N42" s="65"/>
      <c r="O42" s="66"/>
    </row>
    <row r="43" spans="1:15" ht="16" thickBot="1" x14ac:dyDescent="0.25">
      <c r="A43" s="95" t="s">
        <v>81</v>
      </c>
      <c r="B43" s="65" t="s">
        <v>292</v>
      </c>
      <c r="C43" s="66" t="s">
        <v>253</v>
      </c>
      <c r="E43" s="97" t="s">
        <v>81</v>
      </c>
      <c r="F43" s="65"/>
      <c r="G43" s="66"/>
      <c r="I43" s="99" t="s">
        <v>81</v>
      </c>
      <c r="J43" s="65"/>
      <c r="K43" s="66"/>
      <c r="M43" s="101" t="s">
        <v>81</v>
      </c>
      <c r="N43" s="65"/>
      <c r="O43" s="66"/>
    </row>
    <row r="44" spans="1:15" ht="16" thickBot="1" x14ac:dyDescent="0.25">
      <c r="A44" s="95" t="s">
        <v>82</v>
      </c>
      <c r="B44" s="65" t="s">
        <v>293</v>
      </c>
      <c r="C44" s="66" t="s">
        <v>253</v>
      </c>
      <c r="E44" s="97" t="s">
        <v>82</v>
      </c>
      <c r="F44" s="65"/>
      <c r="G44" s="66"/>
      <c r="I44" s="99" t="s">
        <v>82</v>
      </c>
      <c r="J44" s="65"/>
      <c r="K44" s="66"/>
      <c r="M44" s="101" t="s">
        <v>82</v>
      </c>
      <c r="N44" s="65"/>
      <c r="O44" s="66"/>
    </row>
    <row r="45" spans="1:15" ht="16" thickBot="1" x14ac:dyDescent="0.25">
      <c r="A45" s="95" t="s">
        <v>83</v>
      </c>
      <c r="B45" s="65" t="s">
        <v>294</v>
      </c>
      <c r="C45" s="66" t="s">
        <v>253</v>
      </c>
      <c r="E45" s="97" t="s">
        <v>83</v>
      </c>
      <c r="F45" s="65"/>
      <c r="G45" s="66"/>
      <c r="I45" s="99" t="s">
        <v>83</v>
      </c>
      <c r="J45" s="65"/>
      <c r="K45" s="66"/>
      <c r="M45" s="101" t="s">
        <v>83</v>
      </c>
      <c r="N45" s="65"/>
      <c r="O45" s="66"/>
    </row>
    <row r="46" spans="1:15" ht="16" thickBot="1" x14ac:dyDescent="0.25">
      <c r="A46" s="95" t="s">
        <v>84</v>
      </c>
      <c r="B46" s="65" t="s">
        <v>295</v>
      </c>
      <c r="C46" s="66" t="s">
        <v>253</v>
      </c>
      <c r="E46" s="97" t="s">
        <v>84</v>
      </c>
      <c r="F46" s="65"/>
      <c r="G46" s="66"/>
      <c r="I46" s="99" t="s">
        <v>84</v>
      </c>
      <c r="J46" s="65"/>
      <c r="K46" s="66"/>
      <c r="M46" s="101" t="s">
        <v>84</v>
      </c>
      <c r="N46" s="65"/>
      <c r="O46" s="66"/>
    </row>
    <row r="47" spans="1:15" ht="16" thickBot="1" x14ac:dyDescent="0.25">
      <c r="A47" s="95" t="s">
        <v>85</v>
      </c>
      <c r="B47" s="65" t="s">
        <v>296</v>
      </c>
      <c r="C47" s="66" t="s">
        <v>253</v>
      </c>
      <c r="E47" s="97" t="s">
        <v>85</v>
      </c>
      <c r="F47" s="65"/>
      <c r="G47" s="66"/>
      <c r="I47" s="99" t="s">
        <v>85</v>
      </c>
      <c r="J47" s="65"/>
      <c r="K47" s="66"/>
      <c r="M47" s="101" t="s">
        <v>85</v>
      </c>
      <c r="N47" s="65"/>
      <c r="O47" s="66"/>
    </row>
    <row r="48" spans="1:15" ht="16" thickBot="1" x14ac:dyDescent="0.25">
      <c r="A48" s="95" t="s">
        <v>86</v>
      </c>
      <c r="B48" s="65" t="s">
        <v>297</v>
      </c>
      <c r="C48" s="66" t="s">
        <v>253</v>
      </c>
      <c r="E48" s="97" t="s">
        <v>86</v>
      </c>
      <c r="F48" s="65"/>
      <c r="G48" s="66"/>
      <c r="I48" s="99" t="s">
        <v>86</v>
      </c>
      <c r="J48" s="65"/>
      <c r="K48" s="66"/>
      <c r="M48" s="101" t="s">
        <v>86</v>
      </c>
      <c r="N48" s="65"/>
      <c r="O48" s="66"/>
    </row>
    <row r="49" spans="1:15" ht="16" thickBot="1" x14ac:dyDescent="0.25">
      <c r="A49" s="95" t="s">
        <v>87</v>
      </c>
      <c r="B49" s="65" t="s">
        <v>298</v>
      </c>
      <c r="C49" s="66" t="s">
        <v>253</v>
      </c>
      <c r="E49" s="97" t="s">
        <v>87</v>
      </c>
      <c r="F49" s="65"/>
      <c r="G49" s="66"/>
      <c r="I49" s="99" t="s">
        <v>87</v>
      </c>
      <c r="J49" s="65"/>
      <c r="K49" s="66"/>
      <c r="M49" s="101" t="s">
        <v>87</v>
      </c>
      <c r="N49" s="65"/>
      <c r="O49" s="66"/>
    </row>
    <row r="50" spans="1:15" ht="16" thickBot="1" x14ac:dyDescent="0.25">
      <c r="A50" s="95" t="s">
        <v>88</v>
      </c>
      <c r="B50" s="65" t="s">
        <v>299</v>
      </c>
      <c r="C50" s="66" t="s">
        <v>253</v>
      </c>
      <c r="E50" s="97" t="s">
        <v>88</v>
      </c>
      <c r="F50" s="65"/>
      <c r="G50" s="66"/>
      <c r="I50" s="99" t="s">
        <v>88</v>
      </c>
      <c r="J50" s="65"/>
      <c r="K50" s="66"/>
      <c r="M50" s="101" t="s">
        <v>88</v>
      </c>
      <c r="N50" s="65"/>
      <c r="O50" s="66"/>
    </row>
    <row r="51" spans="1:15" ht="16" thickBot="1" x14ac:dyDescent="0.25">
      <c r="A51" s="95" t="s">
        <v>89</v>
      </c>
      <c r="B51" s="65" t="s">
        <v>300</v>
      </c>
      <c r="C51" s="66" t="s">
        <v>253</v>
      </c>
      <c r="E51" s="97" t="s">
        <v>89</v>
      </c>
      <c r="F51" s="65"/>
      <c r="G51" s="66"/>
      <c r="I51" s="99" t="s">
        <v>89</v>
      </c>
      <c r="J51" s="65"/>
      <c r="K51" s="66"/>
      <c r="M51" s="101" t="s">
        <v>89</v>
      </c>
      <c r="N51" s="65"/>
      <c r="O51" s="66"/>
    </row>
    <row r="52" spans="1:15" ht="16" thickBot="1" x14ac:dyDescent="0.25">
      <c r="A52" s="95" t="s">
        <v>90</v>
      </c>
      <c r="B52" s="65" t="s">
        <v>301</v>
      </c>
      <c r="C52" s="66" t="s">
        <v>253</v>
      </c>
      <c r="E52" s="97" t="s">
        <v>90</v>
      </c>
      <c r="F52" s="65"/>
      <c r="G52" s="66"/>
      <c r="I52" s="99" t="s">
        <v>90</v>
      </c>
      <c r="J52" s="65"/>
      <c r="K52" s="66"/>
      <c r="M52" s="101" t="s">
        <v>90</v>
      </c>
      <c r="N52" s="65"/>
      <c r="O52" s="66"/>
    </row>
    <row r="53" spans="1:15" ht="16" thickBot="1" x14ac:dyDescent="0.25">
      <c r="A53" s="95" t="s">
        <v>91</v>
      </c>
      <c r="B53" s="65" t="s">
        <v>302</v>
      </c>
      <c r="C53" s="66" t="s">
        <v>253</v>
      </c>
      <c r="E53" s="97" t="s">
        <v>91</v>
      </c>
      <c r="F53" s="65"/>
      <c r="G53" s="66"/>
      <c r="I53" s="99" t="s">
        <v>91</v>
      </c>
      <c r="J53" s="65"/>
      <c r="K53" s="66"/>
      <c r="M53" s="101" t="s">
        <v>91</v>
      </c>
      <c r="N53" s="65"/>
      <c r="O53" s="66"/>
    </row>
    <row r="54" spans="1:15" ht="16" thickBot="1" x14ac:dyDescent="0.25">
      <c r="A54" s="95" t="s">
        <v>92</v>
      </c>
      <c r="B54" s="65" t="s">
        <v>303</v>
      </c>
      <c r="C54" s="66" t="s">
        <v>253</v>
      </c>
      <c r="E54" s="97" t="s">
        <v>92</v>
      </c>
      <c r="F54" s="65"/>
      <c r="G54" s="66"/>
      <c r="I54" s="99" t="s">
        <v>92</v>
      </c>
      <c r="J54" s="65"/>
      <c r="K54" s="66"/>
      <c r="M54" s="101" t="s">
        <v>92</v>
      </c>
      <c r="N54" s="65"/>
      <c r="O54" s="66"/>
    </row>
    <row r="55" spans="1:15" ht="16" thickBot="1" x14ac:dyDescent="0.25">
      <c r="A55" s="95" t="s">
        <v>93</v>
      </c>
      <c r="B55" s="65" t="s">
        <v>304</v>
      </c>
      <c r="C55" s="66" t="s">
        <v>253</v>
      </c>
      <c r="E55" s="97" t="s">
        <v>93</v>
      </c>
      <c r="F55" s="65"/>
      <c r="G55" s="66"/>
      <c r="I55" s="99" t="s">
        <v>93</v>
      </c>
      <c r="J55" s="65"/>
      <c r="K55" s="66"/>
      <c r="M55" s="101" t="s">
        <v>93</v>
      </c>
      <c r="N55" s="65"/>
      <c r="O55" s="66"/>
    </row>
    <row r="56" spans="1:15" ht="16" thickBot="1" x14ac:dyDescent="0.25">
      <c r="A56" s="95" t="s">
        <v>94</v>
      </c>
      <c r="B56" s="65" t="s">
        <v>305</v>
      </c>
      <c r="C56" s="66" t="s">
        <v>253</v>
      </c>
      <c r="E56" s="97" t="s">
        <v>94</v>
      </c>
      <c r="F56" s="65"/>
      <c r="G56" s="66"/>
      <c r="I56" s="99" t="s">
        <v>94</v>
      </c>
      <c r="J56" s="65"/>
      <c r="K56" s="66"/>
      <c r="M56" s="101" t="s">
        <v>94</v>
      </c>
      <c r="N56" s="65"/>
      <c r="O56" s="66"/>
    </row>
    <row r="57" spans="1:15" ht="16" thickBot="1" x14ac:dyDescent="0.25">
      <c r="A57" s="95" t="s">
        <v>95</v>
      </c>
      <c r="B57" s="65"/>
      <c r="C57" s="66"/>
      <c r="E57" s="97" t="s">
        <v>95</v>
      </c>
      <c r="F57" s="65"/>
      <c r="G57" s="66"/>
      <c r="I57" s="99" t="s">
        <v>95</v>
      </c>
      <c r="J57" s="65"/>
      <c r="K57" s="66"/>
      <c r="M57" s="101" t="s">
        <v>95</v>
      </c>
      <c r="N57" s="65"/>
      <c r="O57" s="66"/>
    </row>
    <row r="58" spans="1:15" ht="16" thickBot="1" x14ac:dyDescent="0.25">
      <c r="A58" s="95" t="s">
        <v>96</v>
      </c>
      <c r="B58" s="65"/>
      <c r="C58" s="66"/>
      <c r="E58" s="97" t="s">
        <v>96</v>
      </c>
      <c r="F58" s="65"/>
      <c r="G58" s="66"/>
      <c r="I58" s="99" t="s">
        <v>96</v>
      </c>
      <c r="J58" s="65"/>
      <c r="K58" s="66"/>
      <c r="M58" s="101" t="s">
        <v>96</v>
      </c>
      <c r="N58" s="65"/>
      <c r="O58" s="66"/>
    </row>
    <row r="59" spans="1:15" ht="16" thickBot="1" x14ac:dyDescent="0.25">
      <c r="A59" s="95" t="s">
        <v>97</v>
      </c>
      <c r="B59" s="65"/>
      <c r="C59" s="66"/>
      <c r="E59" s="97" t="s">
        <v>97</v>
      </c>
      <c r="F59" s="65"/>
      <c r="G59" s="66"/>
      <c r="I59" s="99" t="s">
        <v>97</v>
      </c>
      <c r="J59" s="65"/>
      <c r="K59" s="66"/>
      <c r="M59" s="101" t="s">
        <v>97</v>
      </c>
      <c r="N59" s="65"/>
      <c r="O59" s="66"/>
    </row>
    <row r="60" spans="1:15" ht="16" thickBot="1" x14ac:dyDescent="0.25">
      <c r="A60" s="95" t="s">
        <v>98</v>
      </c>
      <c r="B60" s="65"/>
      <c r="C60" s="66"/>
      <c r="E60" s="97" t="s">
        <v>98</v>
      </c>
      <c r="F60" s="65"/>
      <c r="G60" s="66"/>
      <c r="I60" s="99" t="s">
        <v>98</v>
      </c>
      <c r="J60" s="65"/>
      <c r="K60" s="66"/>
      <c r="M60" s="101" t="s">
        <v>98</v>
      </c>
      <c r="N60" s="65"/>
      <c r="O60" s="66"/>
    </row>
    <row r="61" spans="1:15" ht="16" thickBot="1" x14ac:dyDescent="0.25">
      <c r="A61" s="95" t="s">
        <v>99</v>
      </c>
      <c r="B61" s="65" t="s">
        <v>307</v>
      </c>
      <c r="C61" s="66" t="s">
        <v>253</v>
      </c>
      <c r="E61" s="97" t="s">
        <v>99</v>
      </c>
      <c r="F61" s="65"/>
      <c r="G61" s="66"/>
      <c r="I61" s="99" t="s">
        <v>99</v>
      </c>
      <c r="J61" s="65"/>
      <c r="K61" s="66"/>
      <c r="M61" s="101" t="s">
        <v>99</v>
      </c>
      <c r="N61" s="65"/>
      <c r="O61" s="66"/>
    </row>
    <row r="62" spans="1:15" ht="16" thickBot="1" x14ac:dyDescent="0.25">
      <c r="A62" s="95" t="s">
        <v>100</v>
      </c>
      <c r="B62" s="65" t="s">
        <v>308</v>
      </c>
      <c r="C62" s="66" t="s">
        <v>253</v>
      </c>
      <c r="E62" s="97" t="s">
        <v>100</v>
      </c>
      <c r="F62" s="65"/>
      <c r="G62" s="66"/>
      <c r="I62" s="99" t="s">
        <v>100</v>
      </c>
      <c r="J62" s="65"/>
      <c r="K62" s="66"/>
      <c r="M62" s="101" t="s">
        <v>100</v>
      </c>
      <c r="N62" s="65"/>
      <c r="O62" s="66"/>
    </row>
    <row r="63" spans="1:15" ht="16" thickBot="1" x14ac:dyDescent="0.25">
      <c r="A63" s="95" t="s">
        <v>101</v>
      </c>
      <c r="B63" s="65" t="s">
        <v>309</v>
      </c>
      <c r="C63" s="66" t="s">
        <v>253</v>
      </c>
      <c r="E63" s="97" t="s">
        <v>101</v>
      </c>
      <c r="F63" s="65"/>
      <c r="G63" s="66"/>
      <c r="I63" s="99" t="s">
        <v>101</v>
      </c>
      <c r="J63" s="65"/>
      <c r="K63" s="66"/>
      <c r="M63" s="101" t="s">
        <v>101</v>
      </c>
      <c r="N63" s="65"/>
      <c r="O63" s="66"/>
    </row>
    <row r="64" spans="1:15" ht="16" thickBot="1" x14ac:dyDescent="0.25">
      <c r="A64" s="95" t="s">
        <v>102</v>
      </c>
      <c r="B64" s="65" t="s">
        <v>310</v>
      </c>
      <c r="C64" s="66" t="s">
        <v>253</v>
      </c>
      <c r="E64" s="97" t="s">
        <v>102</v>
      </c>
      <c r="F64" s="65"/>
      <c r="G64" s="66"/>
      <c r="I64" s="99" t="s">
        <v>102</v>
      </c>
      <c r="J64" s="65"/>
      <c r="K64" s="66"/>
      <c r="M64" s="101" t="s">
        <v>102</v>
      </c>
      <c r="N64" s="65"/>
      <c r="O64" s="66"/>
    </row>
    <row r="65" spans="1:15" ht="16" thickBot="1" x14ac:dyDescent="0.25">
      <c r="A65" s="95" t="s">
        <v>103</v>
      </c>
      <c r="B65" s="65" t="s">
        <v>311</v>
      </c>
      <c r="C65" s="66" t="s">
        <v>253</v>
      </c>
      <c r="E65" s="97" t="s">
        <v>103</v>
      </c>
      <c r="F65" s="65"/>
      <c r="G65" s="66"/>
      <c r="I65" s="99" t="s">
        <v>103</v>
      </c>
      <c r="J65" s="65"/>
      <c r="K65" s="66"/>
      <c r="M65" s="101" t="s">
        <v>103</v>
      </c>
      <c r="N65" s="65"/>
      <c r="O65" s="66"/>
    </row>
    <row r="66" spans="1:15" ht="16" thickBot="1" x14ac:dyDescent="0.25">
      <c r="A66" s="95" t="s">
        <v>104</v>
      </c>
      <c r="B66" s="65" t="s">
        <v>312</v>
      </c>
      <c r="C66" s="66" t="s">
        <v>253</v>
      </c>
      <c r="E66" s="97" t="s">
        <v>104</v>
      </c>
      <c r="F66" s="65"/>
      <c r="G66" s="66"/>
      <c r="I66" s="99" t="s">
        <v>104</v>
      </c>
      <c r="J66" s="65"/>
      <c r="K66" s="66"/>
      <c r="M66" s="101" t="s">
        <v>104</v>
      </c>
      <c r="N66" s="65"/>
      <c r="O66" s="66"/>
    </row>
    <row r="67" spans="1:15" ht="16" thickBot="1" x14ac:dyDescent="0.25">
      <c r="A67" s="95" t="s">
        <v>105</v>
      </c>
      <c r="B67" s="65" t="s">
        <v>313</v>
      </c>
      <c r="C67" s="66" t="s">
        <v>253</v>
      </c>
      <c r="E67" s="97" t="s">
        <v>105</v>
      </c>
      <c r="F67" s="65"/>
      <c r="G67" s="66"/>
      <c r="I67" s="99" t="s">
        <v>105</v>
      </c>
      <c r="J67" s="65"/>
      <c r="K67" s="66"/>
      <c r="M67" s="101" t="s">
        <v>105</v>
      </c>
      <c r="N67" s="65"/>
      <c r="O67" s="66"/>
    </row>
    <row r="68" spans="1:15" ht="16" thickBot="1" x14ac:dyDescent="0.25">
      <c r="A68" s="95" t="s">
        <v>106</v>
      </c>
      <c r="B68" s="65" t="s">
        <v>314</v>
      </c>
      <c r="C68" s="66" t="s">
        <v>253</v>
      </c>
      <c r="E68" s="97" t="s">
        <v>106</v>
      </c>
      <c r="F68" s="65"/>
      <c r="G68" s="66"/>
      <c r="I68" s="99" t="s">
        <v>106</v>
      </c>
      <c r="J68" s="65"/>
      <c r="K68" s="66"/>
      <c r="M68" s="101" t="s">
        <v>106</v>
      </c>
      <c r="N68" s="65"/>
      <c r="O68" s="66"/>
    </row>
    <row r="69" spans="1:15" ht="16" thickBot="1" x14ac:dyDescent="0.25">
      <c r="A69" s="95" t="s">
        <v>107</v>
      </c>
      <c r="B69" s="65" t="s">
        <v>315</v>
      </c>
      <c r="C69" s="66" t="s">
        <v>253</v>
      </c>
      <c r="E69" s="97" t="s">
        <v>107</v>
      </c>
      <c r="F69" s="65"/>
      <c r="G69" s="66"/>
      <c r="I69" s="99" t="s">
        <v>107</v>
      </c>
      <c r="J69" s="65"/>
      <c r="K69" s="66"/>
      <c r="M69" s="101" t="s">
        <v>107</v>
      </c>
      <c r="N69" s="65"/>
      <c r="O69" s="66"/>
    </row>
    <row r="70" spans="1:15" ht="16" thickBot="1" x14ac:dyDescent="0.25">
      <c r="A70" s="95" t="s">
        <v>108</v>
      </c>
      <c r="B70" s="65" t="s">
        <v>316</v>
      </c>
      <c r="C70" s="66" t="s">
        <v>253</v>
      </c>
      <c r="E70" s="97" t="s">
        <v>108</v>
      </c>
      <c r="F70" s="65"/>
      <c r="G70" s="66"/>
      <c r="I70" s="99" t="s">
        <v>108</v>
      </c>
      <c r="J70" s="65"/>
      <c r="K70" s="66"/>
      <c r="M70" s="101" t="s">
        <v>108</v>
      </c>
      <c r="N70" s="65"/>
      <c r="O70" s="66"/>
    </row>
    <row r="71" spans="1:15" ht="16" thickBot="1" x14ac:dyDescent="0.25">
      <c r="A71" s="95" t="s">
        <v>109</v>
      </c>
      <c r="B71" s="65" t="s">
        <v>317</v>
      </c>
      <c r="C71" s="66" t="s">
        <v>253</v>
      </c>
      <c r="E71" s="97" t="s">
        <v>109</v>
      </c>
      <c r="F71" s="65"/>
      <c r="G71" s="66"/>
      <c r="I71" s="99" t="s">
        <v>109</v>
      </c>
      <c r="J71" s="65"/>
      <c r="K71" s="66"/>
      <c r="M71" s="101" t="s">
        <v>109</v>
      </c>
      <c r="N71" s="65"/>
      <c r="O71" s="66"/>
    </row>
    <row r="72" spans="1:15" ht="16" thickBot="1" x14ac:dyDescent="0.25">
      <c r="A72" s="95" t="s">
        <v>110</v>
      </c>
      <c r="B72" s="65" t="s">
        <v>318</v>
      </c>
      <c r="C72" s="66" t="s">
        <v>253</v>
      </c>
      <c r="E72" s="97" t="s">
        <v>110</v>
      </c>
      <c r="F72" s="65"/>
      <c r="G72" s="66"/>
      <c r="I72" s="99" t="s">
        <v>110</v>
      </c>
      <c r="J72" s="65"/>
      <c r="K72" s="66"/>
      <c r="M72" s="101" t="s">
        <v>110</v>
      </c>
      <c r="N72" s="65"/>
      <c r="O72" s="66"/>
    </row>
    <row r="73" spans="1:15" ht="16" thickBot="1" x14ac:dyDescent="0.25">
      <c r="A73" s="95" t="s">
        <v>111</v>
      </c>
      <c r="B73" s="65" t="s">
        <v>319</v>
      </c>
      <c r="C73" s="66" t="s">
        <v>253</v>
      </c>
      <c r="E73" s="97" t="s">
        <v>111</v>
      </c>
      <c r="F73" s="65"/>
      <c r="G73" s="66"/>
      <c r="I73" s="99" t="s">
        <v>111</v>
      </c>
      <c r="J73" s="65"/>
      <c r="K73" s="66"/>
      <c r="M73" s="101" t="s">
        <v>111</v>
      </c>
      <c r="N73" s="65"/>
      <c r="O73" s="66"/>
    </row>
    <row r="74" spans="1:15" ht="16" thickBot="1" x14ac:dyDescent="0.25">
      <c r="A74" s="95" t="s">
        <v>112</v>
      </c>
      <c r="B74" s="65" t="s">
        <v>320</v>
      </c>
      <c r="C74" s="66" t="s">
        <v>253</v>
      </c>
      <c r="E74" s="97" t="s">
        <v>112</v>
      </c>
      <c r="F74" s="65"/>
      <c r="G74" s="66"/>
      <c r="I74" s="99" t="s">
        <v>112</v>
      </c>
      <c r="J74" s="65"/>
      <c r="K74" s="66"/>
      <c r="M74" s="101" t="s">
        <v>112</v>
      </c>
      <c r="N74" s="65"/>
      <c r="O74" s="66"/>
    </row>
    <row r="75" spans="1:15" ht="16" thickBot="1" x14ac:dyDescent="0.25">
      <c r="A75" s="95" t="s">
        <v>113</v>
      </c>
      <c r="B75" s="65" t="s">
        <v>321</v>
      </c>
      <c r="C75" s="66" t="s">
        <v>253</v>
      </c>
      <c r="E75" s="97" t="s">
        <v>113</v>
      </c>
      <c r="F75" s="65"/>
      <c r="G75" s="66"/>
      <c r="I75" s="99" t="s">
        <v>113</v>
      </c>
      <c r="J75" s="65"/>
      <c r="K75" s="66"/>
      <c r="M75" s="101" t="s">
        <v>113</v>
      </c>
      <c r="N75" s="65"/>
      <c r="O75" s="66"/>
    </row>
    <row r="76" spans="1:15" ht="16" thickBot="1" x14ac:dyDescent="0.25">
      <c r="A76" s="95" t="s">
        <v>114</v>
      </c>
      <c r="B76" s="65" t="s">
        <v>322</v>
      </c>
      <c r="C76" s="66" t="s">
        <v>253</v>
      </c>
      <c r="E76" s="97" t="s">
        <v>114</v>
      </c>
      <c r="F76" s="65"/>
      <c r="G76" s="66"/>
      <c r="I76" s="99" t="s">
        <v>114</v>
      </c>
      <c r="J76" s="65"/>
      <c r="K76" s="66"/>
      <c r="M76" s="101" t="s">
        <v>114</v>
      </c>
      <c r="N76" s="65"/>
      <c r="O76" s="66"/>
    </row>
    <row r="77" spans="1:15" ht="16" thickBot="1" x14ac:dyDescent="0.25">
      <c r="A77" s="95" t="s">
        <v>115</v>
      </c>
      <c r="B77" s="65" t="s">
        <v>323</v>
      </c>
      <c r="C77" s="66" t="s">
        <v>253</v>
      </c>
      <c r="E77" s="97" t="s">
        <v>115</v>
      </c>
      <c r="F77" s="65"/>
      <c r="G77" s="66"/>
      <c r="I77" s="99" t="s">
        <v>115</v>
      </c>
      <c r="J77" s="65"/>
      <c r="K77" s="66"/>
      <c r="M77" s="101" t="s">
        <v>115</v>
      </c>
      <c r="N77" s="65"/>
      <c r="O77" s="66"/>
    </row>
    <row r="78" spans="1:15" ht="16" thickBot="1" x14ac:dyDescent="0.25">
      <c r="A78" s="95" t="s">
        <v>116</v>
      </c>
      <c r="B78" s="65" t="s">
        <v>324</v>
      </c>
      <c r="C78" s="66" t="s">
        <v>253</v>
      </c>
      <c r="E78" s="97" t="s">
        <v>116</v>
      </c>
      <c r="F78" s="65"/>
      <c r="G78" s="66"/>
      <c r="I78" s="99" t="s">
        <v>116</v>
      </c>
      <c r="J78" s="65"/>
      <c r="K78" s="66"/>
      <c r="M78" s="101" t="s">
        <v>116</v>
      </c>
      <c r="N78" s="65"/>
      <c r="O78" s="66"/>
    </row>
    <row r="79" spans="1:15" ht="16" thickBot="1" x14ac:dyDescent="0.25">
      <c r="A79" s="95" t="s">
        <v>117</v>
      </c>
      <c r="B79" s="65" t="s">
        <v>325</v>
      </c>
      <c r="C79" s="66" t="s">
        <v>253</v>
      </c>
      <c r="E79" s="97" t="s">
        <v>117</v>
      </c>
      <c r="F79" s="65"/>
      <c r="G79" s="66"/>
      <c r="I79" s="99" t="s">
        <v>117</v>
      </c>
      <c r="J79" s="65"/>
      <c r="K79" s="66"/>
      <c r="M79" s="101" t="s">
        <v>117</v>
      </c>
      <c r="N79" s="65"/>
      <c r="O79" s="66"/>
    </row>
    <row r="80" spans="1:15" ht="16" thickBot="1" x14ac:dyDescent="0.25">
      <c r="A80" s="95" t="s">
        <v>118</v>
      </c>
      <c r="B80" s="65" t="s">
        <v>326</v>
      </c>
      <c r="C80" s="66" t="s">
        <v>253</v>
      </c>
      <c r="E80" s="97" t="s">
        <v>118</v>
      </c>
      <c r="F80" s="65"/>
      <c r="G80" s="66"/>
      <c r="I80" s="99" t="s">
        <v>118</v>
      </c>
      <c r="J80" s="65"/>
      <c r="K80" s="66"/>
      <c r="M80" s="101" t="s">
        <v>118</v>
      </c>
      <c r="N80" s="65"/>
      <c r="O80" s="66"/>
    </row>
    <row r="81" spans="1:15" ht="16" thickBot="1" x14ac:dyDescent="0.25">
      <c r="A81" s="95" t="s">
        <v>119</v>
      </c>
      <c r="B81" s="65" t="s">
        <v>327</v>
      </c>
      <c r="C81" s="66" t="s">
        <v>253</v>
      </c>
      <c r="E81" s="97" t="s">
        <v>119</v>
      </c>
      <c r="F81" s="65"/>
      <c r="G81" s="66"/>
      <c r="I81" s="99" t="s">
        <v>119</v>
      </c>
      <c r="J81" s="65"/>
      <c r="K81" s="66"/>
      <c r="M81" s="101" t="s">
        <v>119</v>
      </c>
      <c r="N81" s="65"/>
      <c r="O81" s="66"/>
    </row>
    <row r="82" spans="1:15" ht="16" thickBot="1" x14ac:dyDescent="0.25">
      <c r="A82" s="95" t="s">
        <v>120</v>
      </c>
      <c r="B82" s="65" t="s">
        <v>328</v>
      </c>
      <c r="C82" s="66" t="s">
        <v>253</v>
      </c>
      <c r="E82" s="97" t="s">
        <v>120</v>
      </c>
      <c r="F82" s="65"/>
      <c r="G82" s="66"/>
      <c r="I82" s="99" t="s">
        <v>120</v>
      </c>
      <c r="J82" s="65"/>
      <c r="K82" s="66"/>
      <c r="M82" s="101" t="s">
        <v>120</v>
      </c>
      <c r="N82" s="65"/>
      <c r="O82" s="66"/>
    </row>
    <row r="83" spans="1:15" ht="16" thickBot="1" x14ac:dyDescent="0.25">
      <c r="A83" s="95" t="s">
        <v>121</v>
      </c>
      <c r="B83" s="65" t="s">
        <v>329</v>
      </c>
      <c r="C83" s="66" t="s">
        <v>253</v>
      </c>
      <c r="E83" s="97" t="s">
        <v>121</v>
      </c>
      <c r="F83" s="65"/>
      <c r="G83" s="66"/>
      <c r="I83" s="99" t="s">
        <v>121</v>
      </c>
      <c r="J83" s="65"/>
      <c r="K83" s="66"/>
      <c r="M83" s="101" t="s">
        <v>121</v>
      </c>
      <c r="N83" s="65"/>
      <c r="O83" s="66"/>
    </row>
    <row r="84" spans="1:15" ht="16" thickBot="1" x14ac:dyDescent="0.25">
      <c r="A84" s="95" t="s">
        <v>122</v>
      </c>
      <c r="B84" s="65" t="s">
        <v>330</v>
      </c>
      <c r="C84" s="66" t="s">
        <v>253</v>
      </c>
      <c r="E84" s="97" t="s">
        <v>122</v>
      </c>
      <c r="F84" s="65"/>
      <c r="G84" s="66"/>
      <c r="I84" s="99" t="s">
        <v>122</v>
      </c>
      <c r="J84" s="65"/>
      <c r="K84" s="66"/>
      <c r="M84" s="101" t="s">
        <v>122</v>
      </c>
      <c r="N84" s="65"/>
      <c r="O84" s="66"/>
    </row>
    <row r="85" spans="1:15" ht="16" thickBot="1" x14ac:dyDescent="0.25">
      <c r="A85" s="95" t="s">
        <v>123</v>
      </c>
      <c r="B85" s="65" t="s">
        <v>331</v>
      </c>
      <c r="C85" s="66" t="s">
        <v>253</v>
      </c>
      <c r="E85" s="97" t="s">
        <v>123</v>
      </c>
      <c r="F85" s="65"/>
      <c r="G85" s="66"/>
      <c r="I85" s="99" t="s">
        <v>123</v>
      </c>
      <c r="J85" s="65"/>
      <c r="K85" s="66"/>
      <c r="M85" s="101" t="s">
        <v>123</v>
      </c>
      <c r="N85" s="65"/>
      <c r="O85" s="66"/>
    </row>
    <row r="86" spans="1:15" ht="16" thickBot="1" x14ac:dyDescent="0.25">
      <c r="A86" s="95" t="s">
        <v>124</v>
      </c>
      <c r="B86" s="65" t="s">
        <v>332</v>
      </c>
      <c r="C86" s="66" t="s">
        <v>253</v>
      </c>
      <c r="E86" s="97" t="s">
        <v>124</v>
      </c>
      <c r="F86" s="65"/>
      <c r="G86" s="66"/>
      <c r="I86" s="99" t="s">
        <v>124</v>
      </c>
      <c r="J86" s="65"/>
      <c r="K86" s="66"/>
      <c r="M86" s="101" t="s">
        <v>124</v>
      </c>
      <c r="N86" s="65"/>
      <c r="O86" s="66"/>
    </row>
    <row r="87" spans="1:15" ht="16" thickBot="1" x14ac:dyDescent="0.25">
      <c r="A87" s="95" t="s">
        <v>125</v>
      </c>
      <c r="B87" s="65" t="s">
        <v>333</v>
      </c>
      <c r="C87" s="66" t="s">
        <v>253</v>
      </c>
      <c r="E87" s="97" t="s">
        <v>125</v>
      </c>
      <c r="F87" s="65"/>
      <c r="G87" s="66"/>
      <c r="I87" s="99" t="s">
        <v>125</v>
      </c>
      <c r="J87" s="65"/>
      <c r="K87" s="66"/>
      <c r="M87" s="101" t="s">
        <v>125</v>
      </c>
      <c r="N87" s="65"/>
      <c r="O87" s="66"/>
    </row>
    <row r="88" spans="1:15" ht="16" thickBot="1" x14ac:dyDescent="0.25">
      <c r="A88" s="95" t="s">
        <v>126</v>
      </c>
      <c r="B88" s="65" t="s">
        <v>334</v>
      </c>
      <c r="C88" s="66" t="s">
        <v>253</v>
      </c>
      <c r="E88" s="97" t="s">
        <v>126</v>
      </c>
      <c r="F88" s="65"/>
      <c r="G88" s="66"/>
      <c r="I88" s="99" t="s">
        <v>126</v>
      </c>
      <c r="J88" s="65"/>
      <c r="K88" s="66"/>
      <c r="M88" s="101" t="s">
        <v>126</v>
      </c>
      <c r="N88" s="65"/>
      <c r="O88" s="66"/>
    </row>
    <row r="89" spans="1:15" ht="16" thickBot="1" x14ac:dyDescent="0.25">
      <c r="A89" s="95" t="s">
        <v>127</v>
      </c>
      <c r="B89" s="65"/>
      <c r="C89" s="66"/>
      <c r="E89" s="97" t="s">
        <v>127</v>
      </c>
      <c r="F89" s="65"/>
      <c r="G89" s="66"/>
      <c r="I89" s="99" t="s">
        <v>127</v>
      </c>
      <c r="J89" s="65"/>
      <c r="K89" s="66"/>
      <c r="M89" s="101" t="s">
        <v>127</v>
      </c>
      <c r="N89" s="65" t="s">
        <v>22</v>
      </c>
      <c r="O89" s="66"/>
    </row>
    <row r="90" spans="1:15" ht="16" thickBot="1" x14ac:dyDescent="0.25">
      <c r="A90" s="95" t="s">
        <v>128</v>
      </c>
      <c r="B90" s="65"/>
      <c r="C90" s="66"/>
      <c r="E90" s="97" t="s">
        <v>128</v>
      </c>
      <c r="F90" s="65"/>
      <c r="G90" s="66"/>
      <c r="I90" s="99" t="s">
        <v>128</v>
      </c>
      <c r="J90" s="65"/>
      <c r="K90" s="66"/>
      <c r="M90" s="101" t="s">
        <v>128</v>
      </c>
      <c r="N90" s="65" t="s">
        <v>22</v>
      </c>
      <c r="O90" s="66"/>
    </row>
    <row r="91" spans="1:15" ht="16" thickBot="1" x14ac:dyDescent="0.25">
      <c r="A91" s="95" t="s">
        <v>129</v>
      </c>
      <c r="B91" s="65"/>
      <c r="C91" s="66"/>
      <c r="E91" s="97" t="s">
        <v>129</v>
      </c>
      <c r="F91" s="65"/>
      <c r="G91" s="66"/>
      <c r="I91" s="99" t="s">
        <v>129</v>
      </c>
      <c r="J91" s="65"/>
      <c r="K91" s="66"/>
      <c r="M91" s="101" t="s">
        <v>129</v>
      </c>
      <c r="N91" s="65" t="s">
        <v>22</v>
      </c>
      <c r="O91" s="66"/>
    </row>
    <row r="92" spans="1:15" ht="16" thickBot="1" x14ac:dyDescent="0.25">
      <c r="A92" s="95" t="s">
        <v>130</v>
      </c>
      <c r="B92" s="65"/>
      <c r="C92" s="66"/>
      <c r="E92" s="97" t="s">
        <v>130</v>
      </c>
      <c r="F92" s="65"/>
      <c r="G92" s="66"/>
      <c r="I92" s="99" t="s">
        <v>130</v>
      </c>
      <c r="J92" s="65"/>
      <c r="K92" s="66"/>
      <c r="M92" s="101" t="s">
        <v>130</v>
      </c>
      <c r="N92" s="65" t="s">
        <v>22</v>
      </c>
      <c r="O92" s="66"/>
    </row>
    <row r="93" spans="1:15" ht="16" thickBot="1" x14ac:dyDescent="0.25">
      <c r="A93" s="95" t="s">
        <v>131</v>
      </c>
      <c r="B93" s="65" t="s">
        <v>335</v>
      </c>
      <c r="C93" s="66" t="s">
        <v>253</v>
      </c>
      <c r="E93" s="97" t="s">
        <v>131</v>
      </c>
      <c r="F93" s="65"/>
      <c r="G93" s="66"/>
      <c r="I93" s="99" t="s">
        <v>131</v>
      </c>
      <c r="J93" s="67"/>
      <c r="K93" s="66"/>
      <c r="M93" s="101" t="s">
        <v>131</v>
      </c>
      <c r="N93" s="67" t="s">
        <v>18</v>
      </c>
      <c r="O93" s="66"/>
    </row>
    <row r="94" spans="1:15" ht="16" thickBot="1" x14ac:dyDescent="0.25">
      <c r="A94" s="95" t="s">
        <v>132</v>
      </c>
      <c r="B94" s="65" t="s">
        <v>336</v>
      </c>
      <c r="C94" s="66" t="s">
        <v>253</v>
      </c>
      <c r="E94" s="97" t="s">
        <v>132</v>
      </c>
      <c r="F94" s="65"/>
      <c r="G94" s="66"/>
      <c r="I94" s="99" t="s">
        <v>132</v>
      </c>
      <c r="J94" s="67"/>
      <c r="K94" s="66"/>
      <c r="M94" s="101" t="s">
        <v>132</v>
      </c>
      <c r="N94" s="67" t="s">
        <v>19</v>
      </c>
      <c r="O94" s="66"/>
    </row>
    <row r="95" spans="1:15" ht="16" thickBot="1" x14ac:dyDescent="0.25">
      <c r="A95" s="95" t="s">
        <v>133</v>
      </c>
      <c r="B95" s="65" t="s">
        <v>337</v>
      </c>
      <c r="C95" s="66" t="s">
        <v>253</v>
      </c>
      <c r="E95" s="97" t="s">
        <v>133</v>
      </c>
      <c r="F95" s="65"/>
      <c r="G95" s="66"/>
      <c r="I95" s="99" t="s">
        <v>133</v>
      </c>
      <c r="J95" s="67"/>
      <c r="K95" s="66"/>
      <c r="M95" s="101" t="s">
        <v>133</v>
      </c>
      <c r="N95" s="67" t="s">
        <v>20</v>
      </c>
      <c r="O95" s="66"/>
    </row>
    <row r="96" spans="1:15" ht="16" thickBot="1" x14ac:dyDescent="0.25">
      <c r="A96" s="95" t="s">
        <v>134</v>
      </c>
      <c r="B96" s="65"/>
      <c r="C96" s="66"/>
      <c r="E96" s="97" t="s">
        <v>134</v>
      </c>
      <c r="F96" s="65"/>
      <c r="G96" s="66"/>
      <c r="I96" s="99" t="s">
        <v>134</v>
      </c>
      <c r="J96" s="67"/>
      <c r="K96" s="66"/>
      <c r="M96" s="101" t="s">
        <v>134</v>
      </c>
      <c r="N96" s="67" t="s">
        <v>21</v>
      </c>
      <c r="O96" s="66"/>
    </row>
    <row r="97" spans="1:15" ht="16" thickBot="1" x14ac:dyDescent="0.25">
      <c r="A97" s="95" t="s">
        <v>135</v>
      </c>
      <c r="B97" s="65"/>
      <c r="C97" s="66"/>
      <c r="E97" s="97" t="s">
        <v>135</v>
      </c>
      <c r="F97" s="65"/>
      <c r="G97" s="66"/>
      <c r="I97" s="99" t="s">
        <v>135</v>
      </c>
      <c r="J97" s="65"/>
      <c r="K97" s="66"/>
      <c r="M97" s="101" t="s">
        <v>135</v>
      </c>
      <c r="N97" s="67" t="s">
        <v>18</v>
      </c>
      <c r="O97" s="66"/>
    </row>
    <row r="98" spans="1:15" ht="16" thickBot="1" x14ac:dyDescent="0.25">
      <c r="A98" s="95" t="s">
        <v>136</v>
      </c>
      <c r="B98" s="65"/>
      <c r="C98" s="66"/>
      <c r="E98" s="97" t="s">
        <v>136</v>
      </c>
      <c r="F98" s="65"/>
      <c r="G98" s="66"/>
      <c r="I98" s="99" t="s">
        <v>136</v>
      </c>
      <c r="J98" s="65"/>
      <c r="K98" s="66"/>
      <c r="M98" s="101" t="s">
        <v>136</v>
      </c>
      <c r="N98" s="67" t="s">
        <v>19</v>
      </c>
      <c r="O98" s="66"/>
    </row>
    <row r="99" spans="1:15" ht="16" thickBot="1" x14ac:dyDescent="0.25">
      <c r="A99" s="95" t="s">
        <v>137</v>
      </c>
      <c r="B99" s="65"/>
      <c r="C99" s="66"/>
      <c r="E99" s="97" t="s">
        <v>137</v>
      </c>
      <c r="F99" s="65"/>
      <c r="G99" s="66"/>
      <c r="I99" s="99" t="s">
        <v>137</v>
      </c>
      <c r="J99" s="65"/>
      <c r="K99" s="66"/>
      <c r="M99" s="101" t="s">
        <v>137</v>
      </c>
      <c r="N99" s="67" t="s">
        <v>20</v>
      </c>
      <c r="O99" s="66"/>
    </row>
    <row r="100" spans="1:15" ht="16" thickBot="1" x14ac:dyDescent="0.25">
      <c r="A100" s="95" t="s">
        <v>138</v>
      </c>
      <c r="B100" s="65"/>
      <c r="C100" s="66"/>
      <c r="E100" s="97" t="s">
        <v>138</v>
      </c>
      <c r="F100" s="65"/>
      <c r="G100" s="66"/>
      <c r="I100" s="99" t="s">
        <v>138</v>
      </c>
      <c r="J100" s="65"/>
      <c r="K100" s="66"/>
      <c r="M100" s="101" t="s">
        <v>138</v>
      </c>
      <c r="N100" s="67" t="s">
        <v>21</v>
      </c>
      <c r="O100" s="66"/>
    </row>
  </sheetData>
  <mergeCells count="12">
    <mergeCell ref="A1:C1"/>
    <mergeCell ref="E1:G1"/>
    <mergeCell ref="I1:K1"/>
    <mergeCell ref="M1:O1"/>
    <mergeCell ref="A3:B3"/>
    <mergeCell ref="E3:F3"/>
    <mergeCell ref="I3:J3"/>
    <mergeCell ref="M3:N3"/>
    <mergeCell ref="A2:C2"/>
    <mergeCell ref="E2:G2"/>
    <mergeCell ref="I2:K2"/>
    <mergeCell ref="M2:O2"/>
  </mergeCells>
  <conditionalFormatting sqref="C3">
    <cfRule type="containsBlanks" dxfId="51" priority="15">
      <formula>LEN(TRIM(C3))=0</formula>
    </cfRule>
  </conditionalFormatting>
  <conditionalFormatting sqref="G3">
    <cfRule type="containsBlanks" dxfId="50" priority="14">
      <formula>LEN(TRIM(G3))=0</formula>
    </cfRule>
  </conditionalFormatting>
  <conditionalFormatting sqref="K3">
    <cfRule type="containsBlanks" dxfId="49" priority="13">
      <formula>LEN(TRIM(K3))=0</formula>
    </cfRule>
  </conditionalFormatting>
  <conditionalFormatting sqref="O3">
    <cfRule type="containsBlanks" dxfId="48" priority="12">
      <formula>LEN(TRIM(O3))=0</formula>
    </cfRule>
  </conditionalFormatting>
  <conditionalFormatting sqref="E2:G2">
    <cfRule type="cellIs" dxfId="46" priority="10" operator="equal">
      <formula>"Enter Plate Name Here!"</formula>
    </cfRule>
  </conditionalFormatting>
  <conditionalFormatting sqref="I2:K2">
    <cfRule type="cellIs" dxfId="45" priority="9" operator="equal">
      <formula>"Enter Plate Name Here!"</formula>
    </cfRule>
  </conditionalFormatting>
  <conditionalFormatting sqref="M2:O2">
    <cfRule type="cellIs" dxfId="44" priority="8" operator="equal">
      <formula>"Enter Plate Name Here!"</formula>
    </cfRule>
  </conditionalFormatting>
  <conditionalFormatting sqref="A2:C2">
    <cfRule type="cellIs" dxfId="0" priority="1" operator="equal">
      <formula>"Enter Plate Name Here!"</formula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2:M60"/>
  <sheetViews>
    <sheetView workbookViewId="0"/>
  </sheetViews>
  <sheetFormatPr baseColWidth="10" defaultColWidth="9.1640625" defaultRowHeight="15" x14ac:dyDescent="0.2"/>
  <cols>
    <col min="1" max="1" width="29.33203125" style="33" customWidth="1"/>
    <col min="2" max="13" width="16.6640625" style="33" customWidth="1"/>
    <col min="14" max="16384" width="9.1640625" style="33"/>
  </cols>
  <sheetData>
    <row r="2" spans="1:13" ht="16" thickBot="1" x14ac:dyDescent="0.25">
      <c r="A2" s="34" t="str">
        <f>IF('Paste Sample Names Here'!A2="Enter Plate Name Here!", "", 'Paste Sample Names Here'!A2 &amp; " (1:" &amp; 'Paste Sample Names Here'!$C$3 &amp; ")")</f>
        <v>JA20274 QA20139 (1:1000)</v>
      </c>
    </row>
    <row r="3" spans="1:13" ht="16" thickBot="1" x14ac:dyDescent="0.25">
      <c r="A3" s="105"/>
      <c r="B3" s="106">
        <v>1</v>
      </c>
      <c r="C3" s="107">
        <v>2</v>
      </c>
      <c r="D3" s="107">
        <v>3</v>
      </c>
      <c r="E3" s="107">
        <v>4</v>
      </c>
      <c r="F3" s="107">
        <v>5</v>
      </c>
      <c r="G3" s="107">
        <v>6</v>
      </c>
      <c r="H3" s="107">
        <v>7</v>
      </c>
      <c r="I3" s="107">
        <v>8</v>
      </c>
      <c r="J3" s="107">
        <v>9</v>
      </c>
      <c r="K3" s="107">
        <v>10</v>
      </c>
      <c r="L3" s="107">
        <v>11</v>
      </c>
      <c r="M3" s="108">
        <v>12</v>
      </c>
    </row>
    <row r="4" spans="1:13" x14ac:dyDescent="0.2">
      <c r="A4" s="109" t="s">
        <v>0</v>
      </c>
      <c r="B4" s="73" t="str">
        <f>IF('Paste Sample Names Here'!B5="", "", 'Paste Sample Names Here'!B5)</f>
        <v>2AP5</v>
      </c>
      <c r="C4" s="74" t="str">
        <f>IF('Paste Sample Names Here'!B13="", "", 'Paste Sample Names Here'!B13)</f>
        <v>2AP13</v>
      </c>
      <c r="D4" s="74" t="str">
        <f>IF('Paste Sample Names Here'!B21="", "", 'Paste Sample Names Here'!B21)</f>
        <v>2AP21</v>
      </c>
      <c r="E4" s="74" t="str">
        <f>IF('Paste Sample Names Here'!B29="", "", 'Paste Sample Names Here'!B29)</f>
        <v>2AP29</v>
      </c>
      <c r="F4" s="74" t="str">
        <f>IF('Paste Sample Names Here'!B37="", "", 'Paste Sample Names Here'!B37)</f>
        <v>L0P11</v>
      </c>
      <c r="G4" s="74" t="str">
        <f>IF('Paste Sample Names Here'!B45="", "", 'Paste Sample Names Here'!B45)</f>
        <v>L0P19</v>
      </c>
      <c r="H4" s="74" t="str">
        <f>IF('Paste Sample Names Here'!B53="", "", 'Paste Sample Names Here'!B53)</f>
        <v>L0P27</v>
      </c>
      <c r="I4" s="74" t="str">
        <f>IF('Paste Sample Names Here'!B61="", "", 'Paste Sample Names Here'!B61)</f>
        <v>BarLP5C</v>
      </c>
      <c r="J4" s="74" t="str">
        <f>IF('Paste Sample Names Here'!B69="", "", 'Paste Sample Names Here'!B69)</f>
        <v>BarLP13C</v>
      </c>
      <c r="K4" s="74" t="str">
        <f>IF('Paste Sample Names Here'!B77="", "", 'Paste Sample Names Here'!B77)</f>
        <v>BarLP7H</v>
      </c>
      <c r="L4" s="74" t="str">
        <f>IF('Paste Sample Names Here'!B85="", "", 'Paste Sample Names Here'!B85)</f>
        <v>BarLP15H</v>
      </c>
      <c r="M4" s="74" t="str">
        <f>IF('Paste Sample Names Here'!B93="", "", 'Paste Sample Names Here'!B93)</f>
        <v>2A</v>
      </c>
    </row>
    <row r="5" spans="1:13" x14ac:dyDescent="0.2">
      <c r="A5" s="110" t="s">
        <v>1</v>
      </c>
      <c r="B5" s="75" t="str">
        <f>IF('Paste Sample Names Here'!B6="", "", 'Paste Sample Names Here'!B6)</f>
        <v>2AP6</v>
      </c>
      <c r="C5" s="76" t="str">
        <f>IF('Paste Sample Names Here'!B14="", "", 'Paste Sample Names Here'!B14)</f>
        <v>2AP14</v>
      </c>
      <c r="D5" s="76" t="str">
        <f>IF('Paste Sample Names Here'!B22="", "", 'Paste Sample Names Here'!B22)</f>
        <v>2AP22</v>
      </c>
      <c r="E5" s="76" t="str">
        <f>IF('Paste Sample Names Here'!B30="", "", 'Paste Sample Names Here'!B30)</f>
        <v>2AP30</v>
      </c>
      <c r="F5" s="76" t="str">
        <f>IF('Paste Sample Names Here'!B38="", "", 'Paste Sample Names Here'!B38)</f>
        <v>L0P12</v>
      </c>
      <c r="G5" s="76" t="str">
        <f>IF('Paste Sample Names Here'!B46="", "", 'Paste Sample Names Here'!B46)</f>
        <v>L0P20</v>
      </c>
      <c r="H5" s="76" t="str">
        <f>IF('Paste Sample Names Here'!B54="", "", 'Paste Sample Names Here'!B54)</f>
        <v>L0P28</v>
      </c>
      <c r="I5" s="76" t="str">
        <f>IF('Paste Sample Names Here'!B62="", "", 'Paste Sample Names Here'!B62)</f>
        <v>BarLP6C</v>
      </c>
      <c r="J5" s="76" t="str">
        <f>IF('Paste Sample Names Here'!B70="", "", 'Paste Sample Names Here'!B70)</f>
        <v>BarLP14C</v>
      </c>
      <c r="K5" s="76" t="str">
        <f>IF('Paste Sample Names Here'!B78="", "", 'Paste Sample Names Here'!B78)</f>
        <v>BarLP8H</v>
      </c>
      <c r="L5" s="76" t="str">
        <f>IF('Paste Sample Names Here'!B86="", "", 'Paste Sample Names Here'!B86)</f>
        <v>BarLP16H</v>
      </c>
      <c r="M5" s="35" t="str">
        <f>IF('Paste Sample Names Here'!B94="", "", 'Paste Sample Names Here'!B94)</f>
        <v>L0</v>
      </c>
    </row>
    <row r="6" spans="1:13" x14ac:dyDescent="0.2">
      <c r="A6" s="110" t="s">
        <v>2</v>
      </c>
      <c r="B6" s="75" t="str">
        <f>IF('Paste Sample Names Here'!B7="", "", 'Paste Sample Names Here'!B7)</f>
        <v>2AP7</v>
      </c>
      <c r="C6" s="76" t="str">
        <f>IF('Paste Sample Names Here'!B15="", "", 'Paste Sample Names Here'!B15)</f>
        <v>2AP15</v>
      </c>
      <c r="D6" s="76" t="str">
        <f>IF('Paste Sample Names Here'!B23="", "", 'Paste Sample Names Here'!B23)</f>
        <v>2AP23</v>
      </c>
      <c r="E6" s="76" t="str">
        <f>IF('Paste Sample Names Here'!B31="", "", 'Paste Sample Names Here'!B31)</f>
        <v>L0P5</v>
      </c>
      <c r="F6" s="76" t="str">
        <f>IF('Paste Sample Names Here'!B39="", "", 'Paste Sample Names Here'!B39)</f>
        <v>L0P13</v>
      </c>
      <c r="G6" s="76" t="str">
        <f>IF('Paste Sample Names Here'!B47="", "", 'Paste Sample Names Here'!B47)</f>
        <v>L0P21</v>
      </c>
      <c r="H6" s="76" t="str">
        <f>IF('Paste Sample Names Here'!B55="", "", 'Paste Sample Names Here'!B55)</f>
        <v>L0P29</v>
      </c>
      <c r="I6" s="76" t="str">
        <f>IF('Paste Sample Names Here'!B63="", "", 'Paste Sample Names Here'!B63)</f>
        <v>BarLP7C</v>
      </c>
      <c r="J6" s="76" t="str">
        <f>IF('Paste Sample Names Here'!B71="", "", 'Paste Sample Names Here'!B71)</f>
        <v>BarLP15C</v>
      </c>
      <c r="K6" s="76" t="str">
        <f>IF('Paste Sample Names Here'!B79="", "", 'Paste Sample Names Here'!B79)</f>
        <v>BarLP9H</v>
      </c>
      <c r="L6" s="76" t="str">
        <f>IF('Paste Sample Names Here'!B87="", "", 'Paste Sample Names Here'!B87)</f>
        <v>BarLP17H</v>
      </c>
      <c r="M6" s="35" t="str">
        <f>IF('Paste Sample Names Here'!B95="", "", 'Paste Sample Names Here'!B95)</f>
        <v>BarL</v>
      </c>
    </row>
    <row r="7" spans="1:13" x14ac:dyDescent="0.2">
      <c r="A7" s="110" t="s">
        <v>3</v>
      </c>
      <c r="B7" s="75" t="str">
        <f>IF('Paste Sample Names Here'!B8="", "", 'Paste Sample Names Here'!B8)</f>
        <v>2AP8</v>
      </c>
      <c r="C7" s="76" t="str">
        <f>IF('Paste Sample Names Here'!B16="", "", 'Paste Sample Names Here'!B16)</f>
        <v>2AP16</v>
      </c>
      <c r="D7" s="76" t="str">
        <f>IF('Paste Sample Names Here'!B24="", "", 'Paste Sample Names Here'!B24)</f>
        <v>2AP24</v>
      </c>
      <c r="E7" s="76" t="str">
        <f>IF('Paste Sample Names Here'!B32="", "", 'Paste Sample Names Here'!B32)</f>
        <v>L0P6</v>
      </c>
      <c r="F7" s="76" t="str">
        <f>IF('Paste Sample Names Here'!B40="", "", 'Paste Sample Names Here'!B40)</f>
        <v>L0P14</v>
      </c>
      <c r="G7" s="76" t="str">
        <f>IF('Paste Sample Names Here'!B48="", "", 'Paste Sample Names Here'!B48)</f>
        <v>L0P22</v>
      </c>
      <c r="H7" s="76" t="str">
        <f>IF('Paste Sample Names Here'!B56="", "", 'Paste Sample Names Here'!B56)</f>
        <v>L0P30</v>
      </c>
      <c r="I7" s="76" t="str">
        <f>IF('Paste Sample Names Here'!B64="", "", 'Paste Sample Names Here'!B64)</f>
        <v>BarLP8C</v>
      </c>
      <c r="J7" s="76" t="str">
        <f>IF('Paste Sample Names Here'!B72="", "", 'Paste Sample Names Here'!B72)</f>
        <v>BarLP16C</v>
      </c>
      <c r="K7" s="76" t="str">
        <f>IF('Paste Sample Names Here'!B80="", "", 'Paste Sample Names Here'!B80)</f>
        <v>BarLP10H</v>
      </c>
      <c r="L7" s="76" t="str">
        <f>IF('Paste Sample Names Here'!B88="", "", 'Paste Sample Names Here'!B88)</f>
        <v>BarLP18H</v>
      </c>
      <c r="M7" s="35" t="str">
        <f>IF('Paste Sample Names Here'!B96="", "", 'Paste Sample Names Here'!B96)</f>
        <v/>
      </c>
    </row>
    <row r="8" spans="1:13" x14ac:dyDescent="0.2">
      <c r="A8" s="110" t="s">
        <v>4</v>
      </c>
      <c r="B8" s="75" t="str">
        <f>IF('Paste Sample Names Here'!B9="", "", 'Paste Sample Names Here'!B9)</f>
        <v>2AP9</v>
      </c>
      <c r="C8" s="76" t="str">
        <f>IF('Paste Sample Names Here'!B17="", "", 'Paste Sample Names Here'!B17)</f>
        <v>2AP17</v>
      </c>
      <c r="D8" s="76" t="str">
        <f>IF('Paste Sample Names Here'!B25="", "", 'Paste Sample Names Here'!B25)</f>
        <v>2AP25</v>
      </c>
      <c r="E8" s="76" t="str">
        <f>IF('Paste Sample Names Here'!B33="", "", 'Paste Sample Names Here'!B33)</f>
        <v>L0P7</v>
      </c>
      <c r="F8" s="76" t="str">
        <f>IF('Paste Sample Names Here'!B41="", "", 'Paste Sample Names Here'!B41)</f>
        <v>L0P15</v>
      </c>
      <c r="G8" s="76" t="str">
        <f>IF('Paste Sample Names Here'!B49="", "", 'Paste Sample Names Here'!B49)</f>
        <v>L0P23</v>
      </c>
      <c r="H8" s="76" t="str">
        <f>IF('Paste Sample Names Here'!B57="", "", 'Paste Sample Names Here'!B57)</f>
        <v/>
      </c>
      <c r="I8" s="76" t="str">
        <f>IF('Paste Sample Names Here'!B65="", "", 'Paste Sample Names Here'!B65)</f>
        <v>BarLP9C</v>
      </c>
      <c r="J8" s="76" t="str">
        <f>IF('Paste Sample Names Here'!B73="", "", 'Paste Sample Names Here'!B73)</f>
        <v>BarLP17C</v>
      </c>
      <c r="K8" s="76" t="str">
        <f>IF('Paste Sample Names Here'!B81="", "", 'Paste Sample Names Here'!B81)</f>
        <v>BarLP11H</v>
      </c>
      <c r="L8" s="76" t="str">
        <f>IF('Paste Sample Names Here'!B89="", "", 'Paste Sample Names Here'!B89)</f>
        <v/>
      </c>
      <c r="M8" s="35" t="str">
        <f>IF('Paste Sample Names Here'!B97="", "", 'Paste Sample Names Here'!B97)</f>
        <v/>
      </c>
    </row>
    <row r="9" spans="1:13" x14ac:dyDescent="0.2">
      <c r="A9" s="110" t="s">
        <v>5</v>
      </c>
      <c r="B9" s="75" t="str">
        <f>IF('Paste Sample Names Here'!B10="", "", 'Paste Sample Names Here'!B10)</f>
        <v>2AP10</v>
      </c>
      <c r="C9" s="76" t="str">
        <f>IF('Paste Sample Names Here'!B18="", "", 'Paste Sample Names Here'!B18)</f>
        <v>2AP18</v>
      </c>
      <c r="D9" s="76" t="str">
        <f>IF('Paste Sample Names Here'!B26="", "", 'Paste Sample Names Here'!B26)</f>
        <v>2AP26</v>
      </c>
      <c r="E9" s="76" t="str">
        <f>IF('Paste Sample Names Here'!B34="", "", 'Paste Sample Names Here'!B34)</f>
        <v>L0P8</v>
      </c>
      <c r="F9" s="76" t="str">
        <f>IF('Paste Sample Names Here'!B42="", "", 'Paste Sample Names Here'!B42)</f>
        <v>L0P16</v>
      </c>
      <c r="G9" s="76" t="str">
        <f>IF('Paste Sample Names Here'!B50="", "", 'Paste Sample Names Here'!B50)</f>
        <v>L0P24</v>
      </c>
      <c r="H9" s="76" t="str">
        <f>IF('Paste Sample Names Here'!B58="", "", 'Paste Sample Names Here'!B58)</f>
        <v/>
      </c>
      <c r="I9" s="76" t="str">
        <f>IF('Paste Sample Names Here'!B66="", "", 'Paste Sample Names Here'!B66)</f>
        <v>BarLP10C</v>
      </c>
      <c r="J9" s="76" t="str">
        <f>IF('Paste Sample Names Here'!B74="", "", 'Paste Sample Names Here'!B74)</f>
        <v>BarLP18C</v>
      </c>
      <c r="K9" s="76" t="str">
        <f>IF('Paste Sample Names Here'!B82="", "", 'Paste Sample Names Here'!B82)</f>
        <v>BarLP12H</v>
      </c>
      <c r="L9" s="76" t="str">
        <f>IF('Paste Sample Names Here'!B90="", "", 'Paste Sample Names Here'!B90)</f>
        <v/>
      </c>
      <c r="M9" s="35" t="str">
        <f>IF('Paste Sample Names Here'!B98="", "", 'Paste Sample Names Here'!B98)</f>
        <v/>
      </c>
    </row>
    <row r="10" spans="1:13" x14ac:dyDescent="0.2">
      <c r="A10" s="110" t="s">
        <v>6</v>
      </c>
      <c r="B10" s="75" t="str">
        <f>IF('Paste Sample Names Here'!B11="", "", 'Paste Sample Names Here'!B11)</f>
        <v>2AP11</v>
      </c>
      <c r="C10" s="76" t="str">
        <f>IF('Paste Sample Names Here'!B19="", "", 'Paste Sample Names Here'!B19)</f>
        <v>2AP19</v>
      </c>
      <c r="D10" s="76" t="str">
        <f>IF('Paste Sample Names Here'!B27="", "", 'Paste Sample Names Here'!B27)</f>
        <v>2AP27</v>
      </c>
      <c r="E10" s="76" t="str">
        <f>IF('Paste Sample Names Here'!B35="", "", 'Paste Sample Names Here'!B35)</f>
        <v>L0P9</v>
      </c>
      <c r="F10" s="76" t="str">
        <f>IF('Paste Sample Names Here'!B43="", "", 'Paste Sample Names Here'!B43)</f>
        <v>L0P17</v>
      </c>
      <c r="G10" s="76" t="str">
        <f>IF('Paste Sample Names Here'!B51="", "", 'Paste Sample Names Here'!B51)</f>
        <v>L0P25</v>
      </c>
      <c r="H10" s="76" t="str">
        <f>IF('Paste Sample Names Here'!B59="", "", 'Paste Sample Names Here'!B59)</f>
        <v/>
      </c>
      <c r="I10" s="76" t="str">
        <f>IF('Paste Sample Names Here'!B67="", "", 'Paste Sample Names Here'!B67)</f>
        <v>BarLP11C</v>
      </c>
      <c r="J10" s="76" t="str">
        <f>IF('Paste Sample Names Here'!B75="", "", 'Paste Sample Names Here'!B75)</f>
        <v>BarLP5H</v>
      </c>
      <c r="K10" s="76" t="str">
        <f>IF('Paste Sample Names Here'!B83="", "", 'Paste Sample Names Here'!B83)</f>
        <v>BarLP13H</v>
      </c>
      <c r="L10" s="76" t="str">
        <f>IF('Paste Sample Names Here'!B91="", "", 'Paste Sample Names Here'!B91)</f>
        <v/>
      </c>
      <c r="M10" s="35" t="str">
        <f>IF('Paste Sample Names Here'!B99="", "", 'Paste Sample Names Here'!B99)</f>
        <v/>
      </c>
    </row>
    <row r="11" spans="1:13" ht="16" thickBot="1" x14ac:dyDescent="0.25">
      <c r="A11" s="111" t="s">
        <v>7</v>
      </c>
      <c r="B11" s="77" t="str">
        <f>IF('Paste Sample Names Here'!B12="", "", 'Paste Sample Names Here'!B12)</f>
        <v>2AP12</v>
      </c>
      <c r="C11" s="78" t="str">
        <f>IF('Paste Sample Names Here'!B20="", "", 'Paste Sample Names Here'!B20)</f>
        <v>2AP20</v>
      </c>
      <c r="D11" s="78" t="str">
        <f>IF('Paste Sample Names Here'!B28="", "", 'Paste Sample Names Here'!B28)</f>
        <v>2AP28</v>
      </c>
      <c r="E11" s="78" t="str">
        <f>IF('Paste Sample Names Here'!B36="", "", 'Paste Sample Names Here'!B36)</f>
        <v>L0P10</v>
      </c>
      <c r="F11" s="78" t="str">
        <f>IF('Paste Sample Names Here'!B44="", "", 'Paste Sample Names Here'!B44)</f>
        <v>L0P18</v>
      </c>
      <c r="G11" s="78" t="str">
        <f>IF('Paste Sample Names Here'!B52="", "", 'Paste Sample Names Here'!B52)</f>
        <v>L0P26</v>
      </c>
      <c r="H11" s="78" t="str">
        <f>IF('Paste Sample Names Here'!B60="", "", 'Paste Sample Names Here'!B60)</f>
        <v/>
      </c>
      <c r="I11" s="78" t="str">
        <f>IF('Paste Sample Names Here'!B68="", "", 'Paste Sample Names Here'!B68)</f>
        <v>BarLP12C</v>
      </c>
      <c r="J11" s="78" t="str">
        <f>IF('Paste Sample Names Here'!B76="", "", 'Paste Sample Names Here'!B76)</f>
        <v>BarLP6H</v>
      </c>
      <c r="K11" s="78" t="str">
        <f>IF('Paste Sample Names Here'!B84="", "", 'Paste Sample Names Here'!B84)</f>
        <v>BarLP14H</v>
      </c>
      <c r="L11" s="78" t="str">
        <f>IF('Paste Sample Names Here'!B92="", "", 'Paste Sample Names Here'!B92)</f>
        <v/>
      </c>
      <c r="M11" s="79" t="str">
        <f>IF('Paste Sample Names Here'!B100="", "", 'Paste Sample Names Here'!B100)</f>
        <v/>
      </c>
    </row>
    <row r="13" spans="1:13" ht="16" thickBot="1" x14ac:dyDescent="0.25">
      <c r="A13" s="34" t="str">
        <f>IF('Paste Sample Names Here'!E2="Enter Plate Name Here!", "", 'Paste Sample Names Here'!E2 &amp; " (1:" &amp; 'Paste Sample Names Here'!$G$3 &amp; ")")</f>
        <v/>
      </c>
    </row>
    <row r="14" spans="1:13" ht="16" thickBot="1" x14ac:dyDescent="0.25">
      <c r="A14" s="112"/>
      <c r="B14" s="113">
        <v>1</v>
      </c>
      <c r="C14" s="113">
        <v>2</v>
      </c>
      <c r="D14" s="113">
        <v>3</v>
      </c>
      <c r="E14" s="113">
        <v>4</v>
      </c>
      <c r="F14" s="113">
        <v>5</v>
      </c>
      <c r="G14" s="113">
        <v>6</v>
      </c>
      <c r="H14" s="113">
        <v>7</v>
      </c>
      <c r="I14" s="113">
        <v>8</v>
      </c>
      <c r="J14" s="113">
        <v>9</v>
      </c>
      <c r="K14" s="113">
        <v>10</v>
      </c>
      <c r="L14" s="113">
        <v>11</v>
      </c>
      <c r="M14" s="113">
        <v>12</v>
      </c>
    </row>
    <row r="15" spans="1:13" x14ac:dyDescent="0.2">
      <c r="A15" s="115" t="s">
        <v>0</v>
      </c>
      <c r="B15" s="80" t="str">
        <f>IF('Paste Sample Names Here'!F5="", "", 'Paste Sample Names Here'!F5)</f>
        <v/>
      </c>
      <c r="C15" s="74" t="str">
        <f>IF('Paste Sample Names Here'!F13="", "", 'Paste Sample Names Here'!F13)</f>
        <v/>
      </c>
      <c r="D15" s="74" t="str">
        <f>IF('Paste Sample Names Here'!F21="", "", 'Paste Sample Names Here'!F21)</f>
        <v/>
      </c>
      <c r="E15" s="74" t="str">
        <f>IF('Paste Sample Names Here'!F29="", "", 'Paste Sample Names Here'!F29)</f>
        <v/>
      </c>
      <c r="F15" s="74" t="str">
        <f>IF('Paste Sample Names Here'!F37="", "", 'Paste Sample Names Here'!F37)</f>
        <v/>
      </c>
      <c r="G15" s="74" t="str">
        <f>IF('Paste Sample Names Here'!F45="", "", 'Paste Sample Names Here'!F45)</f>
        <v/>
      </c>
      <c r="H15" s="74" t="str">
        <f>IF('Paste Sample Names Here'!F53="", "", 'Paste Sample Names Here'!F53)</f>
        <v/>
      </c>
      <c r="I15" s="74" t="str">
        <f>IF('Paste Sample Names Here'!F61="", "", 'Paste Sample Names Here'!F61)</f>
        <v/>
      </c>
      <c r="J15" s="74" t="str">
        <f>IF('Paste Sample Names Here'!F69="", "", 'Paste Sample Names Here'!F69)</f>
        <v/>
      </c>
      <c r="K15" s="74" t="str">
        <f>IF('Paste Sample Names Here'!F77="", "", 'Paste Sample Names Here'!F77)</f>
        <v/>
      </c>
      <c r="L15" s="74" t="str">
        <f>IF('Paste Sample Names Here'!F85="", "", 'Paste Sample Names Here'!F85)</f>
        <v/>
      </c>
      <c r="M15" s="74" t="str">
        <f>IF('Paste Sample Names Here'!F93="", "", 'Paste Sample Names Here'!F93)</f>
        <v/>
      </c>
    </row>
    <row r="16" spans="1:13" x14ac:dyDescent="0.2">
      <c r="A16" s="116" t="s">
        <v>1</v>
      </c>
      <c r="B16" s="75" t="str">
        <f>IF('Paste Sample Names Here'!F6="", "", 'Paste Sample Names Here'!F6)</f>
        <v/>
      </c>
      <c r="C16" s="76" t="str">
        <f>IF('Paste Sample Names Here'!F14="", "", 'Paste Sample Names Here'!F14)</f>
        <v/>
      </c>
      <c r="D16" s="76" t="str">
        <f>IF('Paste Sample Names Here'!F22="", "", 'Paste Sample Names Here'!F22)</f>
        <v/>
      </c>
      <c r="E16" s="76" t="str">
        <f>IF('Paste Sample Names Here'!F30="", "", 'Paste Sample Names Here'!F30)</f>
        <v/>
      </c>
      <c r="F16" s="76" t="str">
        <f>IF('Paste Sample Names Here'!F38="", "", 'Paste Sample Names Here'!F38)</f>
        <v/>
      </c>
      <c r="G16" s="76" t="str">
        <f>IF('Paste Sample Names Here'!F46="", "", 'Paste Sample Names Here'!F46)</f>
        <v/>
      </c>
      <c r="H16" s="76" t="str">
        <f>IF('Paste Sample Names Here'!F54="", "", 'Paste Sample Names Here'!F54)</f>
        <v/>
      </c>
      <c r="I16" s="81" t="str">
        <f>IF('Paste Sample Names Here'!F62="", "", 'Paste Sample Names Here'!F62)</f>
        <v/>
      </c>
      <c r="J16" s="76" t="str">
        <f>IF('Paste Sample Names Here'!F70="", "", 'Paste Sample Names Here'!F70)</f>
        <v/>
      </c>
      <c r="K16" s="76" t="str">
        <f>IF('Paste Sample Names Here'!F78="", "", 'Paste Sample Names Here'!F78)</f>
        <v/>
      </c>
      <c r="L16" s="81" t="str">
        <f>IF('Paste Sample Names Here'!F86="", "", 'Paste Sample Names Here'!F86)</f>
        <v/>
      </c>
      <c r="M16" s="36" t="str">
        <f>IF('Paste Sample Names Here'!F94="", "", 'Paste Sample Names Here'!F94)</f>
        <v/>
      </c>
    </row>
    <row r="17" spans="1:13" x14ac:dyDescent="0.2">
      <c r="A17" s="116" t="s">
        <v>2</v>
      </c>
      <c r="B17" s="75" t="str">
        <f>IF('Paste Sample Names Here'!F7="", "", 'Paste Sample Names Here'!F7)</f>
        <v/>
      </c>
      <c r="C17" s="76" t="str">
        <f>IF('Paste Sample Names Here'!F15="", "", 'Paste Sample Names Here'!F15)</f>
        <v/>
      </c>
      <c r="D17" s="76" t="str">
        <f>IF('Paste Sample Names Here'!F23="", "", 'Paste Sample Names Here'!F23)</f>
        <v/>
      </c>
      <c r="E17" s="76" t="str">
        <f>IF('Paste Sample Names Here'!F31="", "", 'Paste Sample Names Here'!F31)</f>
        <v/>
      </c>
      <c r="F17" s="76" t="str">
        <f>IF('Paste Sample Names Here'!F39="", "", 'Paste Sample Names Here'!F39)</f>
        <v/>
      </c>
      <c r="G17" s="76" t="str">
        <f>IF('Paste Sample Names Here'!F47="", "", 'Paste Sample Names Here'!F47)</f>
        <v/>
      </c>
      <c r="H17" s="76" t="str">
        <f>IF('Paste Sample Names Here'!F55="", "", 'Paste Sample Names Here'!F55)</f>
        <v/>
      </c>
      <c r="I17" s="81" t="str">
        <f>IF('Paste Sample Names Here'!F63="", "", 'Paste Sample Names Here'!F63)</f>
        <v/>
      </c>
      <c r="J17" s="76" t="str">
        <f>IF('Paste Sample Names Here'!F71="", "", 'Paste Sample Names Here'!F71)</f>
        <v/>
      </c>
      <c r="K17" s="76" t="str">
        <f>IF('Paste Sample Names Here'!F79="", "", 'Paste Sample Names Here'!F79)</f>
        <v/>
      </c>
      <c r="L17" s="81" t="str">
        <f>IF('Paste Sample Names Here'!F87="", "", 'Paste Sample Names Here'!F87)</f>
        <v/>
      </c>
      <c r="M17" s="35" t="str">
        <f>IF('Paste Sample Names Here'!F95="", "", 'Paste Sample Names Here'!F95)</f>
        <v/>
      </c>
    </row>
    <row r="18" spans="1:13" x14ac:dyDescent="0.2">
      <c r="A18" s="116" t="s">
        <v>3</v>
      </c>
      <c r="B18" s="75" t="str">
        <f>IF('Paste Sample Names Here'!F8="", "", 'Paste Sample Names Here'!F8)</f>
        <v/>
      </c>
      <c r="C18" s="76" t="str">
        <f>IF('Paste Sample Names Here'!F16="", "", 'Paste Sample Names Here'!F16)</f>
        <v/>
      </c>
      <c r="D18" s="76" t="str">
        <f>IF('Paste Sample Names Here'!F24="", "", 'Paste Sample Names Here'!F24)</f>
        <v/>
      </c>
      <c r="E18" s="76" t="str">
        <f>IF('Paste Sample Names Here'!F32="", "", 'Paste Sample Names Here'!F32)</f>
        <v/>
      </c>
      <c r="F18" s="76" t="str">
        <f>IF('Paste Sample Names Here'!F40="", "", 'Paste Sample Names Here'!F40)</f>
        <v/>
      </c>
      <c r="G18" s="76" t="str">
        <f>IF('Paste Sample Names Here'!F48="", "", 'Paste Sample Names Here'!F48)</f>
        <v/>
      </c>
      <c r="H18" s="76" t="str">
        <f>IF('Paste Sample Names Here'!F56="", "", 'Paste Sample Names Here'!F56)</f>
        <v/>
      </c>
      <c r="I18" s="81" t="str">
        <f>IF('Paste Sample Names Here'!F64="", "", 'Paste Sample Names Here'!F64)</f>
        <v/>
      </c>
      <c r="J18" s="76" t="str">
        <f>IF('Paste Sample Names Here'!F72="", "", 'Paste Sample Names Here'!F72)</f>
        <v/>
      </c>
      <c r="K18" s="76" t="str">
        <f>IF('Paste Sample Names Here'!F80="", "", 'Paste Sample Names Here'!F80)</f>
        <v/>
      </c>
      <c r="L18" s="81" t="str">
        <f>IF('Paste Sample Names Here'!F88="", "", 'Paste Sample Names Here'!F88)</f>
        <v/>
      </c>
      <c r="M18" s="35" t="str">
        <f>IF('Paste Sample Names Here'!F96="", "", 'Paste Sample Names Here'!F96)</f>
        <v/>
      </c>
    </row>
    <row r="19" spans="1:13" x14ac:dyDescent="0.2">
      <c r="A19" s="116" t="s">
        <v>4</v>
      </c>
      <c r="B19" s="75" t="str">
        <f>IF('Paste Sample Names Here'!F9="", "", 'Paste Sample Names Here'!F9)</f>
        <v/>
      </c>
      <c r="C19" s="76" t="str">
        <f>IF('Paste Sample Names Here'!F17="", "", 'Paste Sample Names Here'!F17)</f>
        <v/>
      </c>
      <c r="D19" s="76" t="str">
        <f>IF('Paste Sample Names Here'!F25="", "", 'Paste Sample Names Here'!F25)</f>
        <v/>
      </c>
      <c r="E19" s="76" t="str">
        <f>IF('Paste Sample Names Here'!F33="", "", 'Paste Sample Names Here'!F33)</f>
        <v/>
      </c>
      <c r="F19" s="76" t="str">
        <f>IF('Paste Sample Names Here'!F41="", "", 'Paste Sample Names Here'!F41)</f>
        <v/>
      </c>
      <c r="G19" s="76" t="str">
        <f>IF('Paste Sample Names Here'!F49="", "", 'Paste Sample Names Here'!F49)</f>
        <v/>
      </c>
      <c r="H19" s="76" t="str">
        <f>IF('Paste Sample Names Here'!F57="", "", 'Paste Sample Names Here'!F57)</f>
        <v/>
      </c>
      <c r="I19" s="76" t="str">
        <f>IF('Paste Sample Names Here'!F65="", "", 'Paste Sample Names Here'!F65)</f>
        <v/>
      </c>
      <c r="J19" s="76" t="str">
        <f>IF('Paste Sample Names Here'!F73="", "", 'Paste Sample Names Here'!F73)</f>
        <v/>
      </c>
      <c r="K19" s="76" t="str">
        <f>IF('Paste Sample Names Here'!F81="", "", 'Paste Sample Names Here'!F81)</f>
        <v/>
      </c>
      <c r="L19" s="81" t="str">
        <f>IF('Paste Sample Names Here'!F89="", "", 'Paste Sample Names Here'!F89)</f>
        <v/>
      </c>
      <c r="M19" s="35" t="str">
        <f>IF('Paste Sample Names Here'!F97="", "", 'Paste Sample Names Here'!F97)</f>
        <v/>
      </c>
    </row>
    <row r="20" spans="1:13" x14ac:dyDescent="0.2">
      <c r="A20" s="116" t="s">
        <v>5</v>
      </c>
      <c r="B20" s="75" t="str">
        <f>IF('Paste Sample Names Here'!F10="", "", 'Paste Sample Names Here'!F10)</f>
        <v/>
      </c>
      <c r="C20" s="76" t="str">
        <f>IF('Paste Sample Names Here'!F18="", "", 'Paste Sample Names Here'!F18)</f>
        <v/>
      </c>
      <c r="D20" s="76" t="str">
        <f>IF('Paste Sample Names Here'!F26="", "", 'Paste Sample Names Here'!F26)</f>
        <v/>
      </c>
      <c r="E20" s="76" t="str">
        <f>IF('Paste Sample Names Here'!F34="", "", 'Paste Sample Names Here'!F34)</f>
        <v/>
      </c>
      <c r="F20" s="76" t="str">
        <f>IF('Paste Sample Names Here'!F42="", "", 'Paste Sample Names Here'!F42)</f>
        <v/>
      </c>
      <c r="G20" s="76" t="str">
        <f>IF('Paste Sample Names Here'!F50="", "", 'Paste Sample Names Here'!F50)</f>
        <v/>
      </c>
      <c r="H20" s="76" t="str">
        <f>IF('Paste Sample Names Here'!F58="", "", 'Paste Sample Names Here'!F58)</f>
        <v/>
      </c>
      <c r="I20" s="76" t="str">
        <f>IF('Paste Sample Names Here'!F66="", "", 'Paste Sample Names Here'!F66)</f>
        <v/>
      </c>
      <c r="J20" s="76" t="str">
        <f>IF('Paste Sample Names Here'!F74="", "", 'Paste Sample Names Here'!F74)</f>
        <v/>
      </c>
      <c r="K20" s="76" t="str">
        <f>IF('Paste Sample Names Here'!F82="", "", 'Paste Sample Names Here'!F82)</f>
        <v/>
      </c>
      <c r="L20" s="81" t="str">
        <f>IF('Paste Sample Names Here'!F90="", "", 'Paste Sample Names Here'!F90)</f>
        <v/>
      </c>
      <c r="M20" s="35" t="str">
        <f>IF('Paste Sample Names Here'!F98="", "", 'Paste Sample Names Here'!F98)</f>
        <v/>
      </c>
    </row>
    <row r="21" spans="1:13" x14ac:dyDescent="0.2">
      <c r="A21" s="116" t="s">
        <v>6</v>
      </c>
      <c r="B21" s="75" t="str">
        <f>IF('Paste Sample Names Here'!F11="", "", 'Paste Sample Names Here'!F11)</f>
        <v/>
      </c>
      <c r="C21" s="76" t="str">
        <f>IF('Paste Sample Names Here'!F19="", "", 'Paste Sample Names Here'!F19)</f>
        <v/>
      </c>
      <c r="D21" s="76" t="str">
        <f>IF('Paste Sample Names Here'!F27="", "", 'Paste Sample Names Here'!F27)</f>
        <v/>
      </c>
      <c r="E21" s="76" t="str">
        <f>IF('Paste Sample Names Here'!F35="", "", 'Paste Sample Names Here'!F35)</f>
        <v/>
      </c>
      <c r="F21" s="76" t="str">
        <f>IF('Paste Sample Names Here'!F43="", "", 'Paste Sample Names Here'!F43)</f>
        <v/>
      </c>
      <c r="G21" s="76" t="str">
        <f>IF('Paste Sample Names Here'!F51="", "", 'Paste Sample Names Here'!F51)</f>
        <v/>
      </c>
      <c r="H21" s="76" t="str">
        <f>IF('Paste Sample Names Here'!F59="", "", 'Paste Sample Names Here'!F59)</f>
        <v/>
      </c>
      <c r="I21" s="76" t="str">
        <f>IF('Paste Sample Names Here'!F67="", "", 'Paste Sample Names Here'!F67)</f>
        <v/>
      </c>
      <c r="J21" s="76" t="str">
        <f>IF('Paste Sample Names Here'!F75="", "", 'Paste Sample Names Here'!F75)</f>
        <v/>
      </c>
      <c r="K21" s="76" t="str">
        <f>IF('Paste Sample Names Here'!F83="", "", 'Paste Sample Names Here'!F83)</f>
        <v/>
      </c>
      <c r="L21" s="81" t="str">
        <f>IF('Paste Sample Names Here'!F91="", "", 'Paste Sample Names Here'!F91)</f>
        <v/>
      </c>
      <c r="M21" s="35" t="str">
        <f>IF('Paste Sample Names Here'!F99="", "", 'Paste Sample Names Here'!F99)</f>
        <v/>
      </c>
    </row>
    <row r="22" spans="1:13" ht="16" thickBot="1" x14ac:dyDescent="0.25">
      <c r="A22" s="117" t="s">
        <v>7</v>
      </c>
      <c r="B22" s="77" t="str">
        <f>IF('Paste Sample Names Here'!F12="", "", 'Paste Sample Names Here'!F12)</f>
        <v/>
      </c>
      <c r="C22" s="78" t="str">
        <f>IF('Paste Sample Names Here'!F20="", "", 'Paste Sample Names Here'!F20)</f>
        <v/>
      </c>
      <c r="D22" s="78" t="str">
        <f>IF('Paste Sample Names Here'!F28="", "", 'Paste Sample Names Here'!F28)</f>
        <v/>
      </c>
      <c r="E22" s="78" t="str">
        <f>IF('Paste Sample Names Here'!F36="", "", 'Paste Sample Names Here'!F36)</f>
        <v/>
      </c>
      <c r="F22" s="78" t="str">
        <f>IF('Paste Sample Names Here'!F44="", "", 'Paste Sample Names Here'!F44)</f>
        <v/>
      </c>
      <c r="G22" s="78" t="str">
        <f>IF('Paste Sample Names Here'!F52="", "", 'Paste Sample Names Here'!F52)</f>
        <v/>
      </c>
      <c r="H22" s="82" t="str">
        <f>IF('Paste Sample Names Here'!F60="", "", 'Paste Sample Names Here'!F60)</f>
        <v/>
      </c>
      <c r="I22" s="78" t="str">
        <f>IF('Paste Sample Names Here'!F68="", "", 'Paste Sample Names Here'!F68)</f>
        <v/>
      </c>
      <c r="J22" s="78" t="str">
        <f>IF('Paste Sample Names Here'!F76="", "", 'Paste Sample Names Here'!F76)</f>
        <v/>
      </c>
      <c r="K22" s="78" t="str">
        <f>IF('Paste Sample Names Here'!F84="", "", 'Paste Sample Names Here'!F84)</f>
        <v/>
      </c>
      <c r="L22" s="82" t="str">
        <f>IF('Paste Sample Names Here'!F92="", "", 'Paste Sample Names Here'!F92)</f>
        <v/>
      </c>
      <c r="M22" s="79" t="str">
        <f>IF('Paste Sample Names Here'!F100="", "", 'Paste Sample Names Here'!F100)</f>
        <v/>
      </c>
    </row>
    <row r="24" spans="1:13" ht="16" thickBot="1" x14ac:dyDescent="0.25">
      <c r="A24" s="34" t="str">
        <f>IF('Paste Sample Names Here'!I2="Enter Plate Name Here!", "", 'Paste Sample Names Here'!I2 &amp; " (1:" &amp; 'Paste Sample Names Here'!$K$3 &amp; ")")</f>
        <v/>
      </c>
    </row>
    <row r="25" spans="1:13" ht="16" thickBot="1" x14ac:dyDescent="0.25">
      <c r="A25" s="118"/>
      <c r="B25" s="114">
        <v>1</v>
      </c>
      <c r="C25" s="119">
        <v>2</v>
      </c>
      <c r="D25" s="119">
        <v>3</v>
      </c>
      <c r="E25" s="119">
        <v>4</v>
      </c>
      <c r="F25" s="119">
        <v>5</v>
      </c>
      <c r="G25" s="119">
        <v>6</v>
      </c>
      <c r="H25" s="119">
        <v>7</v>
      </c>
      <c r="I25" s="119">
        <v>8</v>
      </c>
      <c r="J25" s="119">
        <v>9</v>
      </c>
      <c r="K25" s="119">
        <v>10</v>
      </c>
      <c r="L25" s="119">
        <v>11</v>
      </c>
      <c r="M25" s="120">
        <v>12</v>
      </c>
    </row>
    <row r="26" spans="1:13" x14ac:dyDescent="0.2">
      <c r="A26" s="121" t="s">
        <v>0</v>
      </c>
      <c r="B26" s="80" t="str">
        <f>IF('Paste Sample Names Here'!J5="", "", 'Paste Sample Names Here'!J5)</f>
        <v/>
      </c>
      <c r="C26" s="74" t="str">
        <f>IF('Paste Sample Names Here'!J13="", "", 'Paste Sample Names Here'!J13)</f>
        <v/>
      </c>
      <c r="D26" s="74" t="str">
        <f>IF('Paste Sample Names Here'!J21="", "", 'Paste Sample Names Here'!J21)</f>
        <v/>
      </c>
      <c r="E26" s="74" t="str">
        <f>IF('Paste Sample Names Here'!J29="", "", 'Paste Sample Names Here'!J29)</f>
        <v/>
      </c>
      <c r="F26" s="74" t="str">
        <f>IF('Paste Sample Names Here'!J37="", "", 'Paste Sample Names Here'!J37)</f>
        <v/>
      </c>
      <c r="G26" s="74" t="str">
        <f>IF('Paste Sample Names Here'!J45="", "", 'Paste Sample Names Here'!J45)</f>
        <v/>
      </c>
      <c r="H26" s="74" t="str">
        <f>IF('Paste Sample Names Here'!J53="", "", 'Paste Sample Names Here'!J53)</f>
        <v/>
      </c>
      <c r="I26" s="74" t="str">
        <f>IF('Paste Sample Names Here'!J61="", "", 'Paste Sample Names Here'!J61)</f>
        <v/>
      </c>
      <c r="J26" s="74" t="str">
        <f>IF('Paste Sample Names Here'!J69="", "", 'Paste Sample Names Here'!J69)</f>
        <v/>
      </c>
      <c r="K26" s="74" t="str">
        <f>IF('Paste Sample Names Here'!J77="", "", 'Paste Sample Names Here'!J77)</f>
        <v/>
      </c>
      <c r="L26" s="74" t="str">
        <f>IF('Paste Sample Names Here'!J85="", "", 'Paste Sample Names Here'!J85)</f>
        <v/>
      </c>
      <c r="M26" s="74" t="str">
        <f>IF('Paste Sample Names Here'!J93="", "", 'Paste Sample Names Here'!J93)</f>
        <v/>
      </c>
    </row>
    <row r="27" spans="1:13" x14ac:dyDescent="0.2">
      <c r="A27" s="122" t="s">
        <v>1</v>
      </c>
      <c r="B27" s="75" t="str">
        <f>IF('Paste Sample Names Here'!J6="", "", 'Paste Sample Names Here'!J6)</f>
        <v/>
      </c>
      <c r="C27" s="76" t="str">
        <f>IF('Paste Sample Names Here'!J14="", "", 'Paste Sample Names Here'!J14)</f>
        <v/>
      </c>
      <c r="D27" s="76" t="str">
        <f>IF('Paste Sample Names Here'!J22="", "", 'Paste Sample Names Here'!J22)</f>
        <v/>
      </c>
      <c r="E27" s="76" t="str">
        <f>IF('Paste Sample Names Here'!J30="", "", 'Paste Sample Names Here'!J30)</f>
        <v/>
      </c>
      <c r="F27" s="76" t="str">
        <f>IF('Paste Sample Names Here'!J38="", "", 'Paste Sample Names Here'!J38)</f>
        <v/>
      </c>
      <c r="G27" s="76" t="str">
        <f>IF('Paste Sample Names Here'!J46="", "", 'Paste Sample Names Here'!J46)</f>
        <v/>
      </c>
      <c r="H27" s="76" t="str">
        <f>IF('Paste Sample Names Here'!J54="", "", 'Paste Sample Names Here'!J54)</f>
        <v/>
      </c>
      <c r="I27" s="81" t="str">
        <f>IF('Paste Sample Names Here'!J62="", "", 'Paste Sample Names Here'!J62)</f>
        <v/>
      </c>
      <c r="J27" s="76" t="str">
        <f>IF('Paste Sample Names Here'!J70="", "", 'Paste Sample Names Here'!J70)</f>
        <v/>
      </c>
      <c r="K27" s="76" t="str">
        <f>IF('Paste Sample Names Here'!J78="", "", 'Paste Sample Names Here'!J78)</f>
        <v/>
      </c>
      <c r="L27" s="81" t="str">
        <f>IF('Paste Sample Names Here'!J86="", "", 'Paste Sample Names Here'!J86)</f>
        <v/>
      </c>
      <c r="M27" s="36" t="str">
        <f>IF('Paste Sample Names Here'!J94="", "", 'Paste Sample Names Here'!J94)</f>
        <v/>
      </c>
    </row>
    <row r="28" spans="1:13" x14ac:dyDescent="0.2">
      <c r="A28" s="122" t="s">
        <v>2</v>
      </c>
      <c r="B28" s="75" t="str">
        <f>IF('Paste Sample Names Here'!J7="", "", 'Paste Sample Names Here'!J7)</f>
        <v/>
      </c>
      <c r="C28" s="76" t="str">
        <f>IF('Paste Sample Names Here'!J15="", "", 'Paste Sample Names Here'!J15)</f>
        <v/>
      </c>
      <c r="D28" s="76" t="str">
        <f>IF('Paste Sample Names Here'!J23="", "", 'Paste Sample Names Here'!J23)</f>
        <v/>
      </c>
      <c r="E28" s="76" t="str">
        <f>IF('Paste Sample Names Here'!J31="", "", 'Paste Sample Names Here'!J31)</f>
        <v/>
      </c>
      <c r="F28" s="76" t="str">
        <f>IF('Paste Sample Names Here'!J39="", "", 'Paste Sample Names Here'!J39)</f>
        <v/>
      </c>
      <c r="G28" s="76" t="str">
        <f>IF('Paste Sample Names Here'!J47="", "", 'Paste Sample Names Here'!J47)</f>
        <v/>
      </c>
      <c r="H28" s="76" t="str">
        <f>IF('Paste Sample Names Here'!J55="", "", 'Paste Sample Names Here'!J55)</f>
        <v/>
      </c>
      <c r="I28" s="81" t="str">
        <f>IF('Paste Sample Names Here'!J63="", "", 'Paste Sample Names Here'!J63)</f>
        <v/>
      </c>
      <c r="J28" s="76" t="str">
        <f>IF('Paste Sample Names Here'!J71="", "", 'Paste Sample Names Here'!J71)</f>
        <v/>
      </c>
      <c r="K28" s="76" t="str">
        <f>IF('Paste Sample Names Here'!J79="", "", 'Paste Sample Names Here'!J79)</f>
        <v/>
      </c>
      <c r="L28" s="81" t="str">
        <f>IF('Paste Sample Names Here'!J87="", "", 'Paste Sample Names Here'!J87)</f>
        <v/>
      </c>
      <c r="M28" s="35" t="str">
        <f>IF('Paste Sample Names Here'!J95="", "", 'Paste Sample Names Here'!J95)</f>
        <v/>
      </c>
    </row>
    <row r="29" spans="1:13" x14ac:dyDescent="0.2">
      <c r="A29" s="122" t="s">
        <v>3</v>
      </c>
      <c r="B29" s="75" t="str">
        <f>IF('Paste Sample Names Here'!J8="", "", 'Paste Sample Names Here'!J8)</f>
        <v/>
      </c>
      <c r="C29" s="76" t="str">
        <f>IF('Paste Sample Names Here'!J16="", "", 'Paste Sample Names Here'!J16)</f>
        <v/>
      </c>
      <c r="D29" s="76" t="str">
        <f>IF('Paste Sample Names Here'!J24="", "", 'Paste Sample Names Here'!J24)</f>
        <v/>
      </c>
      <c r="E29" s="76" t="str">
        <f>IF('Paste Sample Names Here'!J32="", "", 'Paste Sample Names Here'!J32)</f>
        <v/>
      </c>
      <c r="F29" s="76" t="str">
        <f>IF('Paste Sample Names Here'!J40="", "", 'Paste Sample Names Here'!J40)</f>
        <v/>
      </c>
      <c r="G29" s="76" t="str">
        <f>IF('Paste Sample Names Here'!J48="", "", 'Paste Sample Names Here'!J48)</f>
        <v/>
      </c>
      <c r="H29" s="76" t="str">
        <f>IF('Paste Sample Names Here'!J56="", "", 'Paste Sample Names Here'!J56)</f>
        <v/>
      </c>
      <c r="I29" s="81" t="str">
        <f>IF('Paste Sample Names Here'!J64="", "", 'Paste Sample Names Here'!J64)</f>
        <v/>
      </c>
      <c r="J29" s="76" t="str">
        <f>IF('Paste Sample Names Here'!J72="", "", 'Paste Sample Names Here'!J72)</f>
        <v/>
      </c>
      <c r="K29" s="76" t="str">
        <f>IF('Paste Sample Names Here'!J80="", "", 'Paste Sample Names Here'!J80)</f>
        <v/>
      </c>
      <c r="L29" s="81" t="str">
        <f>IF('Paste Sample Names Here'!J88="", "", 'Paste Sample Names Here'!J88)</f>
        <v/>
      </c>
      <c r="M29" s="35" t="str">
        <f>IF('Paste Sample Names Here'!J96="", "", 'Paste Sample Names Here'!J96)</f>
        <v/>
      </c>
    </row>
    <row r="30" spans="1:13" x14ac:dyDescent="0.2">
      <c r="A30" s="122" t="s">
        <v>4</v>
      </c>
      <c r="B30" s="75" t="str">
        <f>IF('Paste Sample Names Here'!J9="", "", 'Paste Sample Names Here'!J9)</f>
        <v/>
      </c>
      <c r="C30" s="76" t="str">
        <f>IF('Paste Sample Names Here'!J17="", "", 'Paste Sample Names Here'!J17)</f>
        <v/>
      </c>
      <c r="D30" s="76" t="str">
        <f>IF('Paste Sample Names Here'!J25="", "", 'Paste Sample Names Here'!J25)</f>
        <v/>
      </c>
      <c r="E30" s="76" t="str">
        <f>IF('Paste Sample Names Here'!J33="", "", 'Paste Sample Names Here'!J33)</f>
        <v/>
      </c>
      <c r="F30" s="76" t="str">
        <f>IF('Paste Sample Names Here'!J41="", "", 'Paste Sample Names Here'!J41)</f>
        <v/>
      </c>
      <c r="G30" s="76" t="str">
        <f>IF('Paste Sample Names Here'!J49="", "", 'Paste Sample Names Here'!J49)</f>
        <v/>
      </c>
      <c r="H30" s="76" t="str">
        <f>IF('Paste Sample Names Here'!J57="", "", 'Paste Sample Names Here'!J57)</f>
        <v/>
      </c>
      <c r="I30" s="76" t="str">
        <f>IF('Paste Sample Names Here'!J65="", "", 'Paste Sample Names Here'!J65)</f>
        <v/>
      </c>
      <c r="J30" s="76" t="str">
        <f>IF('Paste Sample Names Here'!J73="", "", 'Paste Sample Names Here'!J73)</f>
        <v/>
      </c>
      <c r="K30" s="76" t="str">
        <f>IF('Paste Sample Names Here'!J81="", "", 'Paste Sample Names Here'!J81)</f>
        <v/>
      </c>
      <c r="L30" s="81" t="str">
        <f>IF('Paste Sample Names Here'!J89="", "", 'Paste Sample Names Here'!J89)</f>
        <v/>
      </c>
      <c r="M30" s="35" t="str">
        <f>IF('Paste Sample Names Here'!J97="", "", 'Paste Sample Names Here'!J97)</f>
        <v/>
      </c>
    </row>
    <row r="31" spans="1:13" x14ac:dyDescent="0.2">
      <c r="A31" s="122" t="s">
        <v>5</v>
      </c>
      <c r="B31" s="75" t="str">
        <f>IF('Paste Sample Names Here'!J10="", "", 'Paste Sample Names Here'!J10)</f>
        <v/>
      </c>
      <c r="C31" s="76" t="str">
        <f>IF('Paste Sample Names Here'!J18="", "", 'Paste Sample Names Here'!J18)</f>
        <v/>
      </c>
      <c r="D31" s="76" t="str">
        <f>IF('Paste Sample Names Here'!J26="", "", 'Paste Sample Names Here'!J26)</f>
        <v/>
      </c>
      <c r="E31" s="76" t="str">
        <f>IF('Paste Sample Names Here'!J34="", "", 'Paste Sample Names Here'!J34)</f>
        <v/>
      </c>
      <c r="F31" s="76" t="str">
        <f>IF('Paste Sample Names Here'!J42="", "", 'Paste Sample Names Here'!J42)</f>
        <v/>
      </c>
      <c r="G31" s="76" t="str">
        <f>IF('Paste Sample Names Here'!J50="", "", 'Paste Sample Names Here'!J50)</f>
        <v/>
      </c>
      <c r="H31" s="76" t="str">
        <f>IF('Paste Sample Names Here'!J58="", "", 'Paste Sample Names Here'!J58)</f>
        <v/>
      </c>
      <c r="I31" s="76" t="str">
        <f>IF('Paste Sample Names Here'!J66="", "", 'Paste Sample Names Here'!J66)</f>
        <v/>
      </c>
      <c r="J31" s="76" t="str">
        <f>IF('Paste Sample Names Here'!J74="", "", 'Paste Sample Names Here'!J74)</f>
        <v/>
      </c>
      <c r="K31" s="76" t="str">
        <f>IF('Paste Sample Names Here'!J82="", "", 'Paste Sample Names Here'!J82)</f>
        <v/>
      </c>
      <c r="L31" s="81" t="str">
        <f>IF('Paste Sample Names Here'!J90="", "", 'Paste Sample Names Here'!J90)</f>
        <v/>
      </c>
      <c r="M31" s="35" t="str">
        <f>IF('Paste Sample Names Here'!J98="", "", 'Paste Sample Names Here'!J98)</f>
        <v/>
      </c>
    </row>
    <row r="32" spans="1:13" x14ac:dyDescent="0.2">
      <c r="A32" s="122" t="s">
        <v>6</v>
      </c>
      <c r="B32" s="75" t="str">
        <f>IF('Paste Sample Names Here'!J11="", "", 'Paste Sample Names Here'!J11)</f>
        <v/>
      </c>
      <c r="C32" s="76" t="str">
        <f>IF('Paste Sample Names Here'!J19="", "", 'Paste Sample Names Here'!J19)</f>
        <v/>
      </c>
      <c r="D32" s="76" t="str">
        <f>IF('Paste Sample Names Here'!J27="", "", 'Paste Sample Names Here'!J27)</f>
        <v/>
      </c>
      <c r="E32" s="76" t="str">
        <f>IF('Paste Sample Names Here'!J35="", "", 'Paste Sample Names Here'!J35)</f>
        <v/>
      </c>
      <c r="F32" s="76" t="str">
        <f>IF('Paste Sample Names Here'!J43="", "", 'Paste Sample Names Here'!J43)</f>
        <v/>
      </c>
      <c r="G32" s="76" t="str">
        <f>IF('Paste Sample Names Here'!J51="", "", 'Paste Sample Names Here'!J51)</f>
        <v/>
      </c>
      <c r="H32" s="76" t="str">
        <f>IF('Paste Sample Names Here'!J59="", "", 'Paste Sample Names Here'!J59)</f>
        <v/>
      </c>
      <c r="I32" s="76" t="str">
        <f>IF('Paste Sample Names Here'!J67="", "", 'Paste Sample Names Here'!J67)</f>
        <v/>
      </c>
      <c r="J32" s="76" t="str">
        <f>IF('Paste Sample Names Here'!J75="", "", 'Paste Sample Names Here'!J75)</f>
        <v/>
      </c>
      <c r="K32" s="76" t="str">
        <f>IF('Paste Sample Names Here'!J83="", "", 'Paste Sample Names Here'!J83)</f>
        <v/>
      </c>
      <c r="L32" s="81" t="str">
        <f>IF('Paste Sample Names Here'!J91="", "", 'Paste Sample Names Here'!J91)</f>
        <v/>
      </c>
      <c r="M32" s="35" t="str">
        <f>IF('Paste Sample Names Here'!J99="", "", 'Paste Sample Names Here'!J99)</f>
        <v/>
      </c>
    </row>
    <row r="33" spans="1:13" ht="16" thickBot="1" x14ac:dyDescent="0.25">
      <c r="A33" s="123" t="s">
        <v>7</v>
      </c>
      <c r="B33" s="77" t="str">
        <f>IF('Paste Sample Names Here'!J12="", "", 'Paste Sample Names Here'!J12)</f>
        <v/>
      </c>
      <c r="C33" s="78" t="str">
        <f>IF('Paste Sample Names Here'!J20="", "", 'Paste Sample Names Here'!J20)</f>
        <v/>
      </c>
      <c r="D33" s="78" t="str">
        <f>IF('Paste Sample Names Here'!J28="", "", 'Paste Sample Names Here'!J28)</f>
        <v/>
      </c>
      <c r="E33" s="78" t="str">
        <f>IF('Paste Sample Names Here'!J36="", "", 'Paste Sample Names Here'!J36)</f>
        <v/>
      </c>
      <c r="F33" s="78" t="str">
        <f>IF('Paste Sample Names Here'!J44="", "", 'Paste Sample Names Here'!J44)</f>
        <v/>
      </c>
      <c r="G33" s="78" t="str">
        <f>IF('Paste Sample Names Here'!J52="", "", 'Paste Sample Names Here'!J52)</f>
        <v/>
      </c>
      <c r="H33" s="82" t="str">
        <f>IF('Paste Sample Names Here'!J60="", "", 'Paste Sample Names Here'!J60)</f>
        <v/>
      </c>
      <c r="I33" s="78" t="str">
        <f>IF('Paste Sample Names Here'!J68="", "", 'Paste Sample Names Here'!J68)</f>
        <v/>
      </c>
      <c r="J33" s="78" t="str">
        <f>IF('Paste Sample Names Here'!J76="", "", 'Paste Sample Names Here'!J76)</f>
        <v/>
      </c>
      <c r="K33" s="78" t="str">
        <f>IF('Paste Sample Names Here'!J84="", "", 'Paste Sample Names Here'!J84)</f>
        <v/>
      </c>
      <c r="L33" s="82" t="str">
        <f>IF('Paste Sample Names Here'!J92="", "", 'Paste Sample Names Here'!J92)</f>
        <v/>
      </c>
      <c r="M33" s="79" t="str">
        <f>IF('Paste Sample Names Here'!J100="", "", 'Paste Sample Names Here'!J100)</f>
        <v/>
      </c>
    </row>
    <row r="35" spans="1:13" ht="16" thickBot="1" x14ac:dyDescent="0.25">
      <c r="A35" s="34" t="str">
        <f>IF('Paste Sample Names Here'!M2="Enter Plate Name Here!", "", 'Paste Sample Names Here'!M2 &amp; " (1:" &amp; 'Paste Sample Names Here'!$O$3 &amp; ")")</f>
        <v/>
      </c>
    </row>
    <row r="36" spans="1:13" ht="16" thickBot="1" x14ac:dyDescent="0.25">
      <c r="A36" s="124"/>
      <c r="B36" s="125">
        <v>1</v>
      </c>
      <c r="C36" s="126">
        <v>2</v>
      </c>
      <c r="D36" s="126">
        <v>3</v>
      </c>
      <c r="E36" s="126">
        <v>4</v>
      </c>
      <c r="F36" s="126">
        <v>5</v>
      </c>
      <c r="G36" s="126">
        <v>6</v>
      </c>
      <c r="H36" s="126">
        <v>7</v>
      </c>
      <c r="I36" s="126">
        <v>8</v>
      </c>
      <c r="J36" s="126">
        <v>9</v>
      </c>
      <c r="K36" s="126">
        <v>10</v>
      </c>
      <c r="L36" s="126">
        <v>11</v>
      </c>
      <c r="M36" s="127">
        <v>12</v>
      </c>
    </row>
    <row r="37" spans="1:13" x14ac:dyDescent="0.2">
      <c r="A37" s="128" t="s">
        <v>0</v>
      </c>
      <c r="B37" s="73" t="str">
        <f>IF('Paste Sample Names Here'!N5="", "", 'Paste Sample Names Here'!N5)</f>
        <v/>
      </c>
      <c r="C37" s="74" t="str">
        <f>IF('Paste Sample Names Here'!N13="", "", 'Paste Sample Names Here'!N13)</f>
        <v/>
      </c>
      <c r="D37" s="74" t="str">
        <f>IF('Paste Sample Names Here'!N21="", "", 'Paste Sample Names Here'!N21)</f>
        <v/>
      </c>
      <c r="E37" s="74" t="str">
        <f>IF('Paste Sample Names Here'!N29="", "", 'Paste Sample Names Here'!N29)</f>
        <v/>
      </c>
      <c r="F37" s="74" t="str">
        <f>IF('Paste Sample Names Here'!N37="", "", 'Paste Sample Names Here'!N37)</f>
        <v/>
      </c>
      <c r="G37" s="74" t="str">
        <f>IF('Paste Sample Names Here'!N45="", "", 'Paste Sample Names Here'!N45)</f>
        <v/>
      </c>
      <c r="H37" s="74" t="str">
        <f>IF('Paste Sample Names Here'!N53="", "", 'Paste Sample Names Here'!N53)</f>
        <v/>
      </c>
      <c r="I37" s="74" t="str">
        <f>IF('Paste Sample Names Here'!N61="", "", 'Paste Sample Names Here'!N61)</f>
        <v/>
      </c>
      <c r="J37" s="74" t="str">
        <f>IF('Paste Sample Names Here'!N69="", "", 'Paste Sample Names Here'!N69)</f>
        <v/>
      </c>
      <c r="K37" s="74" t="str">
        <f>IF('Paste Sample Names Here'!N77="", "", 'Paste Sample Names Here'!N77)</f>
        <v/>
      </c>
      <c r="L37" s="74" t="str">
        <f>IF('Paste Sample Names Here'!N85="", "", 'Paste Sample Names Here'!N85)</f>
        <v/>
      </c>
      <c r="M37" s="74" t="str">
        <f>IF('Paste Sample Names Here'!N93="", "", 'Paste Sample Names Here'!N93)</f>
        <v>Standard 1</v>
      </c>
    </row>
    <row r="38" spans="1:13" x14ac:dyDescent="0.2">
      <c r="A38" s="129" t="s">
        <v>1</v>
      </c>
      <c r="B38" s="75" t="str">
        <f>IF('Paste Sample Names Here'!N6="", "", 'Paste Sample Names Here'!N6)</f>
        <v/>
      </c>
      <c r="C38" s="76" t="str">
        <f>IF('Paste Sample Names Here'!N14="", "", 'Paste Sample Names Here'!N14)</f>
        <v/>
      </c>
      <c r="D38" s="76" t="str">
        <f>IF('Paste Sample Names Here'!N22="", "", 'Paste Sample Names Here'!N22)</f>
        <v/>
      </c>
      <c r="E38" s="76" t="str">
        <f>IF('Paste Sample Names Here'!N30="", "", 'Paste Sample Names Here'!N30)</f>
        <v/>
      </c>
      <c r="F38" s="76" t="str">
        <f>IF('Paste Sample Names Here'!N38="", "", 'Paste Sample Names Here'!N38)</f>
        <v/>
      </c>
      <c r="G38" s="76" t="str">
        <f>IF('Paste Sample Names Here'!N46="", "", 'Paste Sample Names Here'!N46)</f>
        <v/>
      </c>
      <c r="H38" s="76" t="str">
        <f>IF('Paste Sample Names Here'!N54="", "", 'Paste Sample Names Here'!N54)</f>
        <v/>
      </c>
      <c r="I38" s="76" t="str">
        <f>IF('Paste Sample Names Here'!N62="", "", 'Paste Sample Names Here'!N62)</f>
        <v/>
      </c>
      <c r="J38" s="76" t="str">
        <f>IF('Paste Sample Names Here'!N70="", "", 'Paste Sample Names Here'!N70)</f>
        <v/>
      </c>
      <c r="K38" s="76" t="str">
        <f>IF('Paste Sample Names Here'!N78="", "", 'Paste Sample Names Here'!N78)</f>
        <v/>
      </c>
      <c r="L38" s="76" t="str">
        <f>IF('Paste Sample Names Here'!N86="", "", 'Paste Sample Names Here'!N86)</f>
        <v/>
      </c>
      <c r="M38" s="35" t="str">
        <f>IF('Paste Sample Names Here'!N94="", "", 'Paste Sample Names Here'!N94)</f>
        <v>Standard 2</v>
      </c>
    </row>
    <row r="39" spans="1:13" x14ac:dyDescent="0.2">
      <c r="A39" s="129" t="s">
        <v>2</v>
      </c>
      <c r="B39" s="75" t="str">
        <f>IF('Paste Sample Names Here'!N7="", "", 'Paste Sample Names Here'!N7)</f>
        <v/>
      </c>
      <c r="C39" s="76" t="str">
        <f>IF('Paste Sample Names Here'!N15="", "", 'Paste Sample Names Here'!N15)</f>
        <v/>
      </c>
      <c r="D39" s="76" t="str">
        <f>IF('Paste Sample Names Here'!N23="", "", 'Paste Sample Names Here'!N23)</f>
        <v/>
      </c>
      <c r="E39" s="76" t="str">
        <f>IF('Paste Sample Names Here'!N31="", "", 'Paste Sample Names Here'!N31)</f>
        <v/>
      </c>
      <c r="F39" s="76" t="str">
        <f>IF('Paste Sample Names Here'!N39="", "", 'Paste Sample Names Here'!N39)</f>
        <v/>
      </c>
      <c r="G39" s="76" t="str">
        <f>IF('Paste Sample Names Here'!N47="", "", 'Paste Sample Names Here'!N47)</f>
        <v/>
      </c>
      <c r="H39" s="76" t="str">
        <f>IF('Paste Sample Names Here'!N55="", "", 'Paste Sample Names Here'!N55)</f>
        <v/>
      </c>
      <c r="I39" s="76" t="str">
        <f>IF('Paste Sample Names Here'!N63="", "", 'Paste Sample Names Here'!N63)</f>
        <v/>
      </c>
      <c r="J39" s="76" t="str">
        <f>IF('Paste Sample Names Here'!N71="", "", 'Paste Sample Names Here'!N71)</f>
        <v/>
      </c>
      <c r="K39" s="76" t="str">
        <f>IF('Paste Sample Names Here'!N79="", "", 'Paste Sample Names Here'!N79)</f>
        <v/>
      </c>
      <c r="L39" s="76" t="str">
        <f>IF('Paste Sample Names Here'!N87="", "", 'Paste Sample Names Here'!N87)</f>
        <v/>
      </c>
      <c r="M39" s="35" t="str">
        <f>IF('Paste Sample Names Here'!N95="", "", 'Paste Sample Names Here'!N95)</f>
        <v>Standard 3</v>
      </c>
    </row>
    <row r="40" spans="1:13" x14ac:dyDescent="0.2">
      <c r="A40" s="129" t="s">
        <v>3</v>
      </c>
      <c r="B40" s="75" t="str">
        <f>IF('Paste Sample Names Here'!N8="", "", 'Paste Sample Names Here'!N8)</f>
        <v/>
      </c>
      <c r="C40" s="76" t="str">
        <f>IF('Paste Sample Names Here'!N16="", "", 'Paste Sample Names Here'!N16)</f>
        <v/>
      </c>
      <c r="D40" s="76" t="str">
        <f>IF('Paste Sample Names Here'!N24="", "", 'Paste Sample Names Here'!N24)</f>
        <v/>
      </c>
      <c r="E40" s="76" t="str">
        <f>IF('Paste Sample Names Here'!N32="", "", 'Paste Sample Names Here'!N32)</f>
        <v/>
      </c>
      <c r="F40" s="76" t="str">
        <f>IF('Paste Sample Names Here'!N40="", "", 'Paste Sample Names Here'!N40)</f>
        <v/>
      </c>
      <c r="G40" s="76" t="str">
        <f>IF('Paste Sample Names Here'!N48="", "", 'Paste Sample Names Here'!N48)</f>
        <v/>
      </c>
      <c r="H40" s="76" t="str">
        <f>IF('Paste Sample Names Here'!N56="", "", 'Paste Sample Names Here'!N56)</f>
        <v/>
      </c>
      <c r="I40" s="76" t="str">
        <f>IF('Paste Sample Names Here'!N64="", "", 'Paste Sample Names Here'!N64)</f>
        <v/>
      </c>
      <c r="J40" s="76" t="str">
        <f>IF('Paste Sample Names Here'!N72="", "", 'Paste Sample Names Here'!N72)</f>
        <v/>
      </c>
      <c r="K40" s="76" t="str">
        <f>IF('Paste Sample Names Here'!N80="", "", 'Paste Sample Names Here'!N80)</f>
        <v/>
      </c>
      <c r="L40" s="76" t="str">
        <f>IF('Paste Sample Names Here'!N88="", "", 'Paste Sample Names Here'!N88)</f>
        <v/>
      </c>
      <c r="M40" s="35" t="str">
        <f>IF('Paste Sample Names Here'!N96="", "", 'Paste Sample Names Here'!N96)</f>
        <v>Standard 4</v>
      </c>
    </row>
    <row r="41" spans="1:13" x14ac:dyDescent="0.2">
      <c r="A41" s="129" t="s">
        <v>4</v>
      </c>
      <c r="B41" s="75" t="str">
        <f>IF('Paste Sample Names Here'!N9="", "", 'Paste Sample Names Here'!N9)</f>
        <v/>
      </c>
      <c r="C41" s="76" t="str">
        <f>IF('Paste Sample Names Here'!N17="", "", 'Paste Sample Names Here'!N17)</f>
        <v/>
      </c>
      <c r="D41" s="76" t="str">
        <f>IF('Paste Sample Names Here'!N25="", "", 'Paste Sample Names Here'!N25)</f>
        <v/>
      </c>
      <c r="E41" s="76" t="str">
        <f>IF('Paste Sample Names Here'!N33="", "", 'Paste Sample Names Here'!N33)</f>
        <v/>
      </c>
      <c r="F41" s="76" t="str">
        <f>IF('Paste Sample Names Here'!N41="", "", 'Paste Sample Names Here'!N41)</f>
        <v/>
      </c>
      <c r="G41" s="76" t="str">
        <f>IF('Paste Sample Names Here'!N49="", "", 'Paste Sample Names Here'!N49)</f>
        <v/>
      </c>
      <c r="H41" s="76" t="str">
        <f>IF('Paste Sample Names Here'!N57="", "", 'Paste Sample Names Here'!N57)</f>
        <v/>
      </c>
      <c r="I41" s="76" t="str">
        <f>IF('Paste Sample Names Here'!N65="", "", 'Paste Sample Names Here'!N65)</f>
        <v/>
      </c>
      <c r="J41" s="76" t="str">
        <f>IF('Paste Sample Names Here'!N73="", "", 'Paste Sample Names Here'!N73)</f>
        <v/>
      </c>
      <c r="K41" s="76" t="str">
        <f>IF('Paste Sample Names Here'!N81="", "", 'Paste Sample Names Here'!N81)</f>
        <v/>
      </c>
      <c r="L41" s="76" t="str">
        <f>IF('Paste Sample Names Here'!N89="", "", 'Paste Sample Names Here'!N89)</f>
        <v>NTC</v>
      </c>
      <c r="M41" s="35" t="str">
        <f>IF('Paste Sample Names Here'!N97="", "", 'Paste Sample Names Here'!N97)</f>
        <v>Standard 1</v>
      </c>
    </row>
    <row r="42" spans="1:13" x14ac:dyDescent="0.2">
      <c r="A42" s="129" t="s">
        <v>5</v>
      </c>
      <c r="B42" s="75" t="str">
        <f>IF('Paste Sample Names Here'!N10="", "", 'Paste Sample Names Here'!N10)</f>
        <v/>
      </c>
      <c r="C42" s="76" t="str">
        <f>IF('Paste Sample Names Here'!N18="", "", 'Paste Sample Names Here'!N18)</f>
        <v/>
      </c>
      <c r="D42" s="76" t="str">
        <f>IF('Paste Sample Names Here'!N26="", "", 'Paste Sample Names Here'!N26)</f>
        <v/>
      </c>
      <c r="E42" s="76" t="str">
        <f>IF('Paste Sample Names Here'!N34="", "", 'Paste Sample Names Here'!N34)</f>
        <v/>
      </c>
      <c r="F42" s="76" t="str">
        <f>IF('Paste Sample Names Here'!N42="", "", 'Paste Sample Names Here'!N42)</f>
        <v/>
      </c>
      <c r="G42" s="76" t="str">
        <f>IF('Paste Sample Names Here'!N50="", "", 'Paste Sample Names Here'!N50)</f>
        <v/>
      </c>
      <c r="H42" s="76" t="str">
        <f>IF('Paste Sample Names Here'!N58="", "", 'Paste Sample Names Here'!N58)</f>
        <v/>
      </c>
      <c r="I42" s="76" t="str">
        <f>IF('Paste Sample Names Here'!N66="", "", 'Paste Sample Names Here'!N66)</f>
        <v/>
      </c>
      <c r="J42" s="76" t="str">
        <f>IF('Paste Sample Names Here'!N74="", "", 'Paste Sample Names Here'!N74)</f>
        <v/>
      </c>
      <c r="K42" s="76" t="str">
        <f>IF('Paste Sample Names Here'!N82="", "", 'Paste Sample Names Here'!N82)</f>
        <v/>
      </c>
      <c r="L42" s="76" t="str">
        <f>IF('Paste Sample Names Here'!N90="", "", 'Paste Sample Names Here'!N90)</f>
        <v>NTC</v>
      </c>
      <c r="M42" s="35" t="str">
        <f>IF('Paste Sample Names Here'!N98="", "", 'Paste Sample Names Here'!N98)</f>
        <v>Standard 2</v>
      </c>
    </row>
    <row r="43" spans="1:13" x14ac:dyDescent="0.2">
      <c r="A43" s="129" t="s">
        <v>6</v>
      </c>
      <c r="B43" s="75" t="str">
        <f>IF('Paste Sample Names Here'!N11="", "", 'Paste Sample Names Here'!N11)</f>
        <v/>
      </c>
      <c r="C43" s="76" t="str">
        <f>IF('Paste Sample Names Here'!N19="", "", 'Paste Sample Names Here'!N19)</f>
        <v/>
      </c>
      <c r="D43" s="76" t="str">
        <f>IF('Paste Sample Names Here'!N27="", "", 'Paste Sample Names Here'!N27)</f>
        <v/>
      </c>
      <c r="E43" s="76" t="str">
        <f>IF('Paste Sample Names Here'!N35="", "", 'Paste Sample Names Here'!N35)</f>
        <v/>
      </c>
      <c r="F43" s="76" t="str">
        <f>IF('Paste Sample Names Here'!N43="", "", 'Paste Sample Names Here'!N43)</f>
        <v/>
      </c>
      <c r="G43" s="76" t="str">
        <f>IF('Paste Sample Names Here'!N51="", "", 'Paste Sample Names Here'!N51)</f>
        <v/>
      </c>
      <c r="H43" s="76" t="str">
        <f>IF('Paste Sample Names Here'!N59="", "", 'Paste Sample Names Here'!N59)</f>
        <v/>
      </c>
      <c r="I43" s="76" t="str">
        <f>IF('Paste Sample Names Here'!N67="", "", 'Paste Sample Names Here'!N67)</f>
        <v/>
      </c>
      <c r="J43" s="76" t="str">
        <f>IF('Paste Sample Names Here'!N75="", "", 'Paste Sample Names Here'!N75)</f>
        <v/>
      </c>
      <c r="K43" s="76" t="str">
        <f>IF('Paste Sample Names Here'!N83="", "", 'Paste Sample Names Here'!N83)</f>
        <v/>
      </c>
      <c r="L43" s="76" t="str">
        <f>IF('Paste Sample Names Here'!N91="", "", 'Paste Sample Names Here'!N91)</f>
        <v>NTC</v>
      </c>
      <c r="M43" s="35" t="str">
        <f>IF('Paste Sample Names Here'!N99="", "", 'Paste Sample Names Here'!N99)</f>
        <v>Standard 3</v>
      </c>
    </row>
    <row r="44" spans="1:13" ht="16" thickBot="1" x14ac:dyDescent="0.25">
      <c r="A44" s="130" t="s">
        <v>7</v>
      </c>
      <c r="B44" s="77" t="str">
        <f>IF('Paste Sample Names Here'!N12="", "", 'Paste Sample Names Here'!N12)</f>
        <v/>
      </c>
      <c r="C44" s="78" t="str">
        <f>IF('Paste Sample Names Here'!N20="", "", 'Paste Sample Names Here'!N20)</f>
        <v/>
      </c>
      <c r="D44" s="78" t="str">
        <f>IF('Paste Sample Names Here'!N28="", "", 'Paste Sample Names Here'!N28)</f>
        <v/>
      </c>
      <c r="E44" s="78" t="str">
        <f>IF('Paste Sample Names Here'!N36="", "", 'Paste Sample Names Here'!N36)</f>
        <v/>
      </c>
      <c r="F44" s="78" t="str">
        <f>IF('Paste Sample Names Here'!N44="", "", 'Paste Sample Names Here'!N44)</f>
        <v/>
      </c>
      <c r="G44" s="78" t="str">
        <f>IF('Paste Sample Names Here'!N52="", "", 'Paste Sample Names Here'!N52)</f>
        <v/>
      </c>
      <c r="H44" s="78" t="str">
        <f>IF('Paste Sample Names Here'!N60="", "", 'Paste Sample Names Here'!N60)</f>
        <v/>
      </c>
      <c r="I44" s="78" t="str">
        <f>IF('Paste Sample Names Here'!N68="", "", 'Paste Sample Names Here'!N68)</f>
        <v/>
      </c>
      <c r="J44" s="78" t="str">
        <f>IF('Paste Sample Names Here'!N76="", "", 'Paste Sample Names Here'!N76)</f>
        <v/>
      </c>
      <c r="K44" s="78" t="str">
        <f>IF('Paste Sample Names Here'!N84="", "", 'Paste Sample Names Here'!N84)</f>
        <v/>
      </c>
      <c r="L44" s="78" t="str">
        <f>IF('Paste Sample Names Here'!N92="", "", 'Paste Sample Names Here'!N92)</f>
        <v>NTC</v>
      </c>
      <c r="M44" s="79" t="str">
        <f>IF('Paste Sample Names Here'!N100="", "", 'Paste Sample Names Here'!N100)</f>
        <v>Standard 4</v>
      </c>
    </row>
    <row r="45" spans="1:13" x14ac:dyDescent="0.2">
      <c r="A45" s="71"/>
      <c r="B45" s="83"/>
      <c r="C45" s="83"/>
      <c r="D45" s="83"/>
      <c r="E45" s="83"/>
      <c r="F45" s="83"/>
      <c r="G45" s="83"/>
      <c r="H45" s="83"/>
      <c r="I45" s="83"/>
      <c r="J45" s="83"/>
      <c r="K45" s="83"/>
      <c r="L45" s="83"/>
      <c r="M45" s="83"/>
    </row>
    <row r="46" spans="1:13" x14ac:dyDescent="0.2">
      <c r="A46" s="149" t="s">
        <v>148</v>
      </c>
      <c r="B46" s="150"/>
    </row>
    <row r="47" spans="1:13" ht="20" customHeight="1" x14ac:dyDescent="0.2">
      <c r="A47" s="37" t="s">
        <v>147</v>
      </c>
      <c r="B47" s="31">
        <f>COUNTA('Paste Sample Names Here'!B5:B100,'Paste Sample Names Here'!F5:F100,'Paste Sample Names Here'!J5:J100,'Paste Sample Names Here'!N5:N100)</f>
        <v>95</v>
      </c>
      <c r="E47" s="38"/>
      <c r="F47" s="38"/>
      <c r="G47" s="38"/>
      <c r="H47" s="38"/>
      <c r="I47" s="38"/>
      <c r="J47" s="38"/>
      <c r="K47" s="38"/>
      <c r="L47" s="38"/>
    </row>
    <row r="48" spans="1:13" ht="17" x14ac:dyDescent="0.2">
      <c r="A48" s="39" t="s">
        <v>142</v>
      </c>
      <c r="B48" s="40" t="s">
        <v>143</v>
      </c>
    </row>
    <row r="49" spans="1:12" ht="25" customHeight="1" x14ac:dyDescent="0.2">
      <c r="A49" s="41" t="s">
        <v>146</v>
      </c>
      <c r="B49" s="42">
        <f>5*($B$47)</f>
        <v>475</v>
      </c>
      <c r="E49" s="38"/>
      <c r="F49" s="38"/>
      <c r="G49" s="38"/>
      <c r="H49" s="38"/>
      <c r="I49" s="38"/>
      <c r="J49" s="38"/>
      <c r="K49" s="38"/>
      <c r="L49" s="38"/>
    </row>
    <row r="50" spans="1:12" ht="25" customHeight="1" x14ac:dyDescent="0.2">
      <c r="A50" s="41" t="s">
        <v>149</v>
      </c>
      <c r="B50" s="42">
        <f>0.1*($B$47)</f>
        <v>9.5</v>
      </c>
    </row>
    <row r="51" spans="1:12" ht="25" customHeight="1" x14ac:dyDescent="0.2">
      <c r="A51" s="41" t="s">
        <v>150</v>
      </c>
      <c r="B51" s="42">
        <f>0.1*($B$47)</f>
        <v>9.5</v>
      </c>
    </row>
    <row r="52" spans="1:12" ht="25" customHeight="1" x14ac:dyDescent="0.2">
      <c r="A52" s="41" t="s">
        <v>144</v>
      </c>
      <c r="B52" s="42">
        <f>3.8*($B$47)</f>
        <v>361</v>
      </c>
    </row>
    <row r="53" spans="1:12" ht="25" customHeight="1" thickBot="1" x14ac:dyDescent="0.25">
      <c r="A53" s="43" t="s">
        <v>251</v>
      </c>
      <c r="B53" s="44">
        <f>0.2*($B$47)</f>
        <v>19</v>
      </c>
    </row>
    <row r="54" spans="1:12" ht="25" customHeight="1" x14ac:dyDescent="0.2">
      <c r="A54" s="45" t="s">
        <v>145</v>
      </c>
      <c r="B54" s="46">
        <f>SUM(B49:B53)</f>
        <v>874</v>
      </c>
    </row>
    <row r="55" spans="1:12" ht="16" x14ac:dyDescent="0.2">
      <c r="A55" s="47" t="s">
        <v>248</v>
      </c>
    </row>
    <row r="56" spans="1:12" ht="16" x14ac:dyDescent="0.2">
      <c r="A56" s="47" t="s">
        <v>151</v>
      </c>
    </row>
    <row r="57" spans="1:12" ht="16" x14ac:dyDescent="0.2">
      <c r="A57" s="47" t="s">
        <v>161</v>
      </c>
    </row>
    <row r="58" spans="1:12" ht="16" x14ac:dyDescent="0.2">
      <c r="A58" s="47" t="s">
        <v>162</v>
      </c>
    </row>
    <row r="59" spans="1:12" ht="16" x14ac:dyDescent="0.2">
      <c r="A59" s="48" t="s">
        <v>163</v>
      </c>
    </row>
    <row r="60" spans="1:12" ht="16" x14ac:dyDescent="0.2">
      <c r="A60" s="48"/>
    </row>
  </sheetData>
  <mergeCells count="1">
    <mergeCell ref="A46:B46"/>
  </mergeCells>
  <pageMargins left="0.7" right="0.7" top="0.75" bottom="0.75" header="0.3" footer="0.3"/>
  <pageSetup scale="52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A1:Y26"/>
  <sheetViews>
    <sheetView topLeftCell="A13" workbookViewId="0">
      <selection activeCell="C22" sqref="C22"/>
    </sheetView>
  </sheetViews>
  <sheetFormatPr baseColWidth="10" defaultColWidth="8.83203125" defaultRowHeight="15" x14ac:dyDescent="0.2"/>
  <cols>
    <col min="2" max="25" width="15.6640625" customWidth="1"/>
  </cols>
  <sheetData>
    <row r="1" spans="1:25" ht="16" thickBot="1" x14ac:dyDescent="0.25"/>
    <row r="2" spans="1:25" x14ac:dyDescent="0.2">
      <c r="A2" s="1"/>
      <c r="B2" s="3">
        <v>1</v>
      </c>
      <c r="C2" s="3">
        <v>2</v>
      </c>
      <c r="D2" s="3">
        <v>3</v>
      </c>
      <c r="E2" s="3">
        <v>4</v>
      </c>
      <c r="F2" s="3">
        <v>5</v>
      </c>
      <c r="G2" s="3">
        <v>6</v>
      </c>
      <c r="H2" s="3">
        <v>7</v>
      </c>
      <c r="I2" s="3">
        <v>8</v>
      </c>
      <c r="J2" s="3">
        <v>9</v>
      </c>
      <c r="K2" s="3">
        <v>10</v>
      </c>
      <c r="L2" s="3">
        <v>11</v>
      </c>
      <c r="M2" s="3">
        <v>12</v>
      </c>
      <c r="N2" s="3">
        <v>13</v>
      </c>
      <c r="O2" s="3">
        <v>14</v>
      </c>
      <c r="P2" s="3">
        <v>15</v>
      </c>
      <c r="Q2" s="3">
        <v>16</v>
      </c>
      <c r="R2" s="3">
        <v>17</v>
      </c>
      <c r="S2" s="3">
        <v>18</v>
      </c>
      <c r="T2" s="3">
        <v>19</v>
      </c>
      <c r="U2" s="3">
        <v>20</v>
      </c>
      <c r="V2" s="3">
        <v>21</v>
      </c>
      <c r="W2" s="3">
        <v>22</v>
      </c>
      <c r="X2" s="3">
        <v>23</v>
      </c>
      <c r="Y2" s="4">
        <v>24</v>
      </c>
    </row>
    <row r="3" spans="1:25" s="28" customFormat="1" ht="40" customHeight="1" x14ac:dyDescent="0.2">
      <c r="A3" s="25" t="s">
        <v>0</v>
      </c>
      <c r="B3" s="85" t="str">
        <f ca="1" xml:space="preserve"> IF(OFFSET('Metagenomic Sample Plates'!B$2, ROW()-1*Sheet3!$B3,COLUMN()-2*Sheet3!C$1)="", "", IF('Paste Sample Names Here'!$C$3="", "DILUTION?", OFFSET('Metagenomic Sample Plates'!B$2, ROW()-1*Sheet3!$B3,COLUMN()-2*Sheet3!C$1)  &amp; " (1:" &amp; 'Paste Sample Names Here'!$C$3 &amp; ")"))</f>
        <v>2AP5 (1:1000)</v>
      </c>
      <c r="C3" s="86" t="str">
        <f ca="1" xml:space="preserve"> IF(OFFSET('Metagenomic Sample Plates'!B$23, ROW(B4)-1*Sheet3!$B3,COLUMN(B4)-2*Sheet3!C$1)="", "", IF('Paste Sample Names Here'!$K$3="", "DILUTION?", OFFSET('Metagenomic Sample Plates'!B$23, ROW(B4)-1*Sheet3!$B3,COLUMN(B4)-2*Sheet3!C$1)  &amp;" (1:" &amp;'Paste Sample Names Here'!$K$3 &amp; ")"))</f>
        <v/>
      </c>
      <c r="D3" s="85" t="str">
        <f ca="1" xml:space="preserve"> IF(OFFSET('Metagenomic Sample Plates'!D$2, ROW()-1*Sheet3!$B3,COLUMN()-2*Sheet3!E$1)="", "", IF('Paste Sample Names Here'!$C$3="", "DILUTION?", OFFSET('Metagenomic Sample Plates'!D$2, ROW()-1*Sheet3!$B3,COLUMN()-2*Sheet3!E$1)  &amp; " (1:" &amp; 'Paste Sample Names Here'!$C$3 &amp; ")"))</f>
        <v>2AP13 (1:1000)</v>
      </c>
      <c r="E3" s="86" t="str">
        <f ca="1" xml:space="preserve"> IF(OFFSET('Metagenomic Sample Plates'!D$23, ROW(D4)-1*Sheet3!$B3,COLUMN(D4)-2*Sheet3!E$1)="", "", IF('Paste Sample Names Here'!$K$3="", "DILUTION?", OFFSET('Metagenomic Sample Plates'!D$23, ROW(D4)-1*Sheet3!$B3,COLUMN(D4)-2*Sheet3!E$1)  &amp;" (1:" &amp;'Paste Sample Names Here'!$K$3 &amp; ")"))</f>
        <v/>
      </c>
      <c r="F3" s="85" t="str">
        <f ca="1" xml:space="preserve"> IF(OFFSET('Metagenomic Sample Plates'!F$2, ROW()-1*Sheet3!$B3,COLUMN()-2*Sheet3!G$1)="", "", IF('Paste Sample Names Here'!$C$3="", "DILUTION?", OFFSET('Metagenomic Sample Plates'!F$2, ROW()-1*Sheet3!$B3,COLUMN()-2*Sheet3!G$1)  &amp; " (1:" &amp; 'Paste Sample Names Here'!$C$3 &amp; ")"))</f>
        <v>2AP21 (1:1000)</v>
      </c>
      <c r="G3" s="86" t="str">
        <f ca="1" xml:space="preserve"> IF(OFFSET('Metagenomic Sample Plates'!F$23, ROW(F4)-1*Sheet3!$B3,COLUMN(F4)-2*Sheet3!G$1)="", "", IF('Paste Sample Names Here'!$K$3="", "DILUTION?", OFFSET('Metagenomic Sample Plates'!F$23, ROW(F4)-1*Sheet3!$B3,COLUMN(F4)-2*Sheet3!G$1)  &amp;" (1:" &amp;'Paste Sample Names Here'!$K$3 &amp; ")"))</f>
        <v/>
      </c>
      <c r="H3" s="85" t="str">
        <f ca="1" xml:space="preserve"> IF(OFFSET('Metagenomic Sample Plates'!H$2, ROW()-1*Sheet3!$B3,COLUMN()-2*Sheet3!I$1)="", "", IF('Paste Sample Names Here'!$C$3="", "DILUTION?", OFFSET('Metagenomic Sample Plates'!H$2, ROW()-1*Sheet3!$B3,COLUMN()-2*Sheet3!I$1)  &amp; " (1:" &amp; 'Paste Sample Names Here'!$C$3 &amp; ")"))</f>
        <v>2AP29 (1:1000)</v>
      </c>
      <c r="I3" s="86" t="str">
        <f ca="1" xml:space="preserve"> IF(OFFSET('Metagenomic Sample Plates'!H$23, ROW(H4)-1*Sheet3!$B3,COLUMN(H4)-2*Sheet3!I$1)="", "", IF('Paste Sample Names Here'!$K$3="", "DILUTION?", OFFSET('Metagenomic Sample Plates'!H$23, ROW(H4)-1*Sheet3!$B3,COLUMN(H4)-2*Sheet3!I$1)  &amp;" (1:" &amp;'Paste Sample Names Here'!$K$3 &amp; ")"))</f>
        <v/>
      </c>
      <c r="J3" s="85" t="str">
        <f ca="1" xml:space="preserve"> IF(OFFSET('Metagenomic Sample Plates'!J$2, ROW()-1*Sheet3!$B3,COLUMN()-2*Sheet3!K$1)="", "", IF('Paste Sample Names Here'!$C$3="", "DILUTION?", OFFSET('Metagenomic Sample Plates'!J$2, ROW()-1*Sheet3!$B3,COLUMN()-2*Sheet3!K$1)  &amp; " (1:" &amp; 'Paste Sample Names Here'!$C$3 &amp; ")"))</f>
        <v>L0P11 (1:1000)</v>
      </c>
      <c r="K3" s="86" t="str">
        <f ca="1" xml:space="preserve"> IF(OFFSET('Metagenomic Sample Plates'!J$23, ROW(J4)-1*Sheet3!$B3,COLUMN(J4)-2*Sheet3!K$1)="", "", IF('Paste Sample Names Here'!$K$3="", "DILUTION?", OFFSET('Metagenomic Sample Plates'!J$23, ROW(J4)-1*Sheet3!$B3,COLUMN(J4)-2*Sheet3!K$1)  &amp;" (1:" &amp;'Paste Sample Names Here'!$K$3 &amp; ")"))</f>
        <v/>
      </c>
      <c r="L3" s="85" t="str">
        <f ca="1" xml:space="preserve"> IF(OFFSET('Metagenomic Sample Plates'!L$2, ROW()-1*Sheet3!$B3,COLUMN()-2*Sheet3!M$1)="", "", IF('Paste Sample Names Here'!$C$3="", "DILUTION?", OFFSET('Metagenomic Sample Plates'!L$2, ROW()-1*Sheet3!$B3,COLUMN()-2*Sheet3!M$1)  &amp; " (1:" &amp; 'Paste Sample Names Here'!$C$3 &amp; ")"))</f>
        <v>L0P19 (1:1000)</v>
      </c>
      <c r="M3" s="86" t="str">
        <f ca="1" xml:space="preserve"> IF(OFFSET('Metagenomic Sample Plates'!L$23, ROW(L4)-1*Sheet3!$B3,COLUMN(L4)-2*Sheet3!M$1)="", "", IF('Paste Sample Names Here'!$K$3="", "DILUTION?", OFFSET('Metagenomic Sample Plates'!L$23, ROW(L4)-1*Sheet3!$B3,COLUMN(L4)-2*Sheet3!M$1)  &amp;" (1:" &amp;'Paste Sample Names Here'!$K$3 &amp; ")"))</f>
        <v/>
      </c>
      <c r="N3" s="85" t="str">
        <f ca="1" xml:space="preserve"> IF(OFFSET('Metagenomic Sample Plates'!N$2, ROW()-1*Sheet3!$B3,COLUMN()-2*Sheet3!O$1)="", "", IF('Paste Sample Names Here'!$C$3="", "DILUTION?", OFFSET('Metagenomic Sample Plates'!N$2, ROW()-1*Sheet3!$B3,COLUMN()-2*Sheet3!O$1)  &amp; " (1:" &amp; 'Paste Sample Names Here'!$C$3 &amp; ")"))</f>
        <v>L0P27 (1:1000)</v>
      </c>
      <c r="O3" s="86" t="str">
        <f ca="1" xml:space="preserve"> IF(OFFSET('Metagenomic Sample Plates'!N$23, ROW(N4)-1*Sheet3!$B3,COLUMN(N4)-2*Sheet3!O$1)="", "", IF('Paste Sample Names Here'!$K$3="", "DILUTION?", OFFSET('Metagenomic Sample Plates'!N$23, ROW(N4)-1*Sheet3!$B3,COLUMN(N4)-2*Sheet3!O$1)  &amp;" (1:" &amp;'Paste Sample Names Here'!$K$3 &amp; ")"))</f>
        <v/>
      </c>
      <c r="P3" s="85" t="str">
        <f ca="1" xml:space="preserve"> IF(OFFSET('Metagenomic Sample Plates'!P$2, ROW()-1*Sheet3!$B3,COLUMN()-2*Sheet3!Q$1)="", "", IF('Paste Sample Names Here'!$C$3="", "DILUTION?", OFFSET('Metagenomic Sample Plates'!P$2, ROW()-1*Sheet3!$B3,COLUMN()-2*Sheet3!Q$1)  &amp; " (1:" &amp; 'Paste Sample Names Here'!$C$3 &amp; ")"))</f>
        <v>BarLP5C (1:1000)</v>
      </c>
      <c r="Q3" s="86" t="str">
        <f ca="1" xml:space="preserve"> IF(OFFSET('Metagenomic Sample Plates'!P$23, ROW(P4)-1*Sheet3!$B3,COLUMN(P4)-2*Sheet3!Q$1)="", "", IF('Paste Sample Names Here'!$K$3="", "DILUTION?", OFFSET('Metagenomic Sample Plates'!P$23, ROW(P4)-1*Sheet3!$B3,COLUMN(P4)-2*Sheet3!Q$1)  &amp;" (1:" &amp;'Paste Sample Names Here'!$K$3 &amp; ")"))</f>
        <v/>
      </c>
      <c r="R3" s="85" t="str">
        <f ca="1" xml:space="preserve"> IF(OFFSET('Metagenomic Sample Plates'!R$2, ROW()-1*Sheet3!$B3,COLUMN()-2*Sheet3!S$1)="", "", IF('Paste Sample Names Here'!$C$3="", "DILUTION?", OFFSET('Metagenomic Sample Plates'!R$2, ROW()-1*Sheet3!$B3,COLUMN()-2*Sheet3!S$1)  &amp; " (1:" &amp; 'Paste Sample Names Here'!$C$3 &amp; ")"))</f>
        <v>BarLP13C (1:1000)</v>
      </c>
      <c r="S3" s="86" t="str">
        <f ca="1" xml:space="preserve"> IF(OFFSET('Metagenomic Sample Plates'!R$23, ROW(R4)-1*Sheet3!$B3,COLUMN(R4)-2*Sheet3!S$1)="", "", IF('Paste Sample Names Here'!$K$3="", "DILUTION?", OFFSET('Metagenomic Sample Plates'!R$23, ROW(R4)-1*Sheet3!$B3,COLUMN(R4)-2*Sheet3!S$1)  &amp;" (1:" &amp;'Paste Sample Names Here'!$K$3 &amp; ")"))</f>
        <v/>
      </c>
      <c r="T3" s="85" t="str">
        <f ca="1" xml:space="preserve"> IF(OFFSET('Metagenomic Sample Plates'!T$2, ROW()-1*Sheet3!$B3,COLUMN()-2*Sheet3!U$1)="", "", IF('Paste Sample Names Here'!$C$3="", "DILUTION?", OFFSET('Metagenomic Sample Plates'!T$2, ROW()-1*Sheet3!$B3,COLUMN()-2*Sheet3!U$1)  &amp; " (1:" &amp; 'Paste Sample Names Here'!$C$3 &amp; ")"))</f>
        <v>BarLP7H (1:1000)</v>
      </c>
      <c r="U3" s="86" t="str">
        <f ca="1" xml:space="preserve"> IF(OFFSET('Metagenomic Sample Plates'!T$23, ROW(T4)-1*Sheet3!$B3,COLUMN(T4)-2*Sheet3!U$1)="", "", IF('Paste Sample Names Here'!$K$3="", "DILUTION?", OFFSET('Metagenomic Sample Plates'!T$23, ROW(T4)-1*Sheet3!$B3,COLUMN(T4)-2*Sheet3!U$1)  &amp;" (1:" &amp;'Paste Sample Names Here'!$K$3 &amp; ")"))</f>
        <v/>
      </c>
      <c r="V3" s="85" t="str">
        <f ca="1" xml:space="preserve"> IF(OFFSET('Metagenomic Sample Plates'!V$2, ROW()-1*Sheet3!$B3,COLUMN()-2*Sheet3!W$1)="", "", IF('Paste Sample Names Here'!$C$3="", "DILUTION?", OFFSET('Metagenomic Sample Plates'!V$2, ROW()-1*Sheet3!$B3,COLUMN()-2*Sheet3!W$1)  &amp; " (1:" &amp; 'Paste Sample Names Here'!$C$3 &amp; ")"))</f>
        <v>BarLP15H (1:1000)</v>
      </c>
      <c r="W3" s="86" t="str">
        <f ca="1" xml:space="preserve"> IF(OFFSET('Metagenomic Sample Plates'!V$23, ROW(V4)-1*Sheet3!$B3,COLUMN(V4)-2*Sheet3!W$1)="", "", IF('Paste Sample Names Here'!$K$3="", "DILUTION?", OFFSET('Metagenomic Sample Plates'!V$23, ROW(V4)-1*Sheet3!$B3,COLUMN(V4)-2*Sheet3!W$1)  &amp;" (1:" &amp;'Paste Sample Names Here'!$K$3 &amp; ")"))</f>
        <v/>
      </c>
      <c r="X3" s="85" t="str">
        <f ca="1" xml:space="preserve"> IF(OFFSET('Metagenomic Sample Plates'!X$2, ROW()-1*Sheet3!$B3,COLUMN()-2*Sheet3!Y$1)="", "", IF('Paste Sample Names Here'!$C$3="", "DILUTION?", OFFSET('Metagenomic Sample Plates'!X$2, ROW()-1*Sheet3!$B3,COLUMN()-2*Sheet3!Y$1)  &amp; " (1:" &amp; 'Paste Sample Names Here'!$C$3 &amp; ")"))</f>
        <v>2A (1:1000)</v>
      </c>
      <c r="Y3" s="86" t="str">
        <f ca="1">IF(OFFSET('Metagenomic Sample Plates'!X$23, ROW(X4)-1*Sheet3!$B3,COLUMN(X4)-2*Sheet3!Y$1)="", "",OFFSET('Metagenomic Sample Plates'!X$23, ROW(X4)-1*Sheet3!$B3,COLUMN(X4)-2*Sheet3!Y$1))</f>
        <v/>
      </c>
    </row>
    <row r="4" spans="1:25" s="28" customFormat="1" ht="40" customHeight="1" x14ac:dyDescent="0.2">
      <c r="A4" s="25" t="s">
        <v>1</v>
      </c>
      <c r="B4" s="87" t="str">
        <f ca="1" xml:space="preserve"> IF(OFFSET('Metagenomic Sample Plates'!B$12, ROW(B4)-1*Sheet3!$B3,COLUMN(B4)-2*Sheet3!C$1)="", "", IF('Paste Sample Names Here'!$G$3="", "DILUTION?", OFFSET('Metagenomic Sample Plates'!B$12, ROW(B4)-1*Sheet3!$B3,COLUMN(B4)-2*Sheet3!C$1)  &amp;" (1:" &amp; 'Paste Sample Names Here'!$G$3 &amp; ")"))</f>
        <v/>
      </c>
      <c r="C4" s="104" t="str">
        <f ca="1" xml:space="preserve"> IF(OFFSET('Metagenomic Sample Plates'!B$34, ROW(B4)-1*Sheet3!$B3,COLUMN(B4)-2*Sheet3!C$1)="", "", IF('Paste Sample Names Here'!$O$3="", "DILUTION?",OFFSET('Metagenomic Sample Plates'!B$34, ROW(B4)-1*Sheet3!$B3,COLUMN(B4)-2*Sheet3!C$1)  &amp;" (1:" &amp; 'Paste Sample Names Here'!$O$3 &amp; ")"))</f>
        <v/>
      </c>
      <c r="D4" s="87" t="str">
        <f ca="1" xml:space="preserve"> IF(OFFSET('Metagenomic Sample Plates'!D$12, ROW(D4)-1*Sheet3!$B3,COLUMN(D4)-2*Sheet3!E$1)="", "", IF('Paste Sample Names Here'!$G$3="", "DILUTION?", OFFSET('Metagenomic Sample Plates'!D$12, ROW(D4)-1*Sheet3!$B3,COLUMN(D4)-2*Sheet3!E$1)  &amp;" (1:" &amp; 'Paste Sample Names Here'!$G$3 &amp; ")"))</f>
        <v/>
      </c>
      <c r="E4" s="104" t="str">
        <f ca="1" xml:space="preserve"> IF(OFFSET('Metagenomic Sample Plates'!D$34, ROW(D4)-1*Sheet3!$B3,COLUMN(D4)-2*Sheet3!E$1)="", "", IF('Paste Sample Names Here'!$O$3="", "DILUTION?",OFFSET('Metagenomic Sample Plates'!D$34, ROW(D4)-1*Sheet3!$B3,COLUMN(D4)-2*Sheet3!E$1)  &amp;" (1:" &amp; 'Paste Sample Names Here'!$O$3 &amp; ")"))</f>
        <v/>
      </c>
      <c r="F4" s="87" t="str">
        <f ca="1" xml:space="preserve"> IF(OFFSET('Metagenomic Sample Plates'!F$12, ROW(F4)-1*Sheet3!$B3,COLUMN(F4)-2*Sheet3!G$1)="", "", IF('Paste Sample Names Here'!$G$3="", "DILUTION?", OFFSET('Metagenomic Sample Plates'!F$12, ROW(F4)-1*Sheet3!$B3,COLUMN(F4)-2*Sheet3!G$1)  &amp;" (1:" &amp; 'Paste Sample Names Here'!$G$3 &amp; ")"))</f>
        <v/>
      </c>
      <c r="G4" s="104" t="str">
        <f ca="1" xml:space="preserve"> IF(OFFSET('Metagenomic Sample Plates'!F$34, ROW(F4)-1*Sheet3!$B3,COLUMN(F4)-2*Sheet3!G$1)="", "", IF('Paste Sample Names Here'!$O$3="", "DILUTION?",OFFSET('Metagenomic Sample Plates'!F$34, ROW(F4)-1*Sheet3!$B3,COLUMN(F4)-2*Sheet3!G$1)  &amp;" (1:" &amp; 'Paste Sample Names Here'!$O$3 &amp; ")"))</f>
        <v/>
      </c>
      <c r="H4" s="87" t="str">
        <f ca="1" xml:space="preserve"> IF(OFFSET('Metagenomic Sample Plates'!H$12, ROW(H4)-1*Sheet3!$B3,COLUMN(H4)-2*Sheet3!I$1)="", "", IF('Paste Sample Names Here'!$G$3="", "DILUTION?", OFFSET('Metagenomic Sample Plates'!H$12, ROW(H4)-1*Sheet3!$B3,COLUMN(H4)-2*Sheet3!I$1)  &amp;" (1:" &amp; 'Paste Sample Names Here'!$G$3 &amp; ")"))</f>
        <v/>
      </c>
      <c r="I4" s="104" t="str">
        <f ca="1" xml:space="preserve"> IF(OFFSET('Metagenomic Sample Plates'!H$34, ROW(H4)-1*Sheet3!$B3,COLUMN(H4)-2*Sheet3!I$1)="", "", IF('Paste Sample Names Here'!$O$3="", "DILUTION?",OFFSET('Metagenomic Sample Plates'!H$34, ROW(H4)-1*Sheet3!$B3,COLUMN(H4)-2*Sheet3!I$1)  &amp;" (1:" &amp; 'Paste Sample Names Here'!$O$3 &amp; ")"))</f>
        <v/>
      </c>
      <c r="J4" s="87" t="str">
        <f ca="1" xml:space="preserve"> IF(OFFSET('Metagenomic Sample Plates'!J$12, ROW(J4)-1*Sheet3!$B3,COLUMN(J4)-2*Sheet3!K$1)="", "", IF('Paste Sample Names Here'!$G$3="", "DILUTION?", OFFSET('Metagenomic Sample Plates'!J$12, ROW(J4)-1*Sheet3!$B3,COLUMN(J4)-2*Sheet3!K$1)  &amp;" (1:" &amp; 'Paste Sample Names Here'!$G$3 &amp; ")"))</f>
        <v/>
      </c>
      <c r="K4" s="104" t="str">
        <f ca="1" xml:space="preserve"> IF(OFFSET('Metagenomic Sample Plates'!J$34, ROW(J4)-1*Sheet3!$B3,COLUMN(J4)-2*Sheet3!K$1)="", "", IF('Paste Sample Names Here'!$O$3="", "DILUTION?",OFFSET('Metagenomic Sample Plates'!J$34, ROW(J4)-1*Sheet3!$B3,COLUMN(J4)-2*Sheet3!K$1)  &amp;" (1:" &amp; 'Paste Sample Names Here'!$O$3 &amp; ")"))</f>
        <v/>
      </c>
      <c r="L4" s="87" t="str">
        <f ca="1" xml:space="preserve"> IF(OFFSET('Metagenomic Sample Plates'!L$12, ROW(L4)-1*Sheet3!$B3,COLUMN(L4)-2*Sheet3!M$1)="", "", IF('Paste Sample Names Here'!$G$3="", "DILUTION?", OFFSET('Metagenomic Sample Plates'!L$12, ROW(L4)-1*Sheet3!$B3,COLUMN(L4)-2*Sheet3!M$1)  &amp;" (1:" &amp; 'Paste Sample Names Here'!$G$3 &amp; ")"))</f>
        <v/>
      </c>
      <c r="M4" s="104" t="str">
        <f ca="1" xml:space="preserve"> IF(OFFSET('Metagenomic Sample Plates'!L$34, ROW(L4)-1*Sheet3!$B3,COLUMN(L4)-2*Sheet3!M$1)="", "", IF('Paste Sample Names Here'!$O$3="", "DILUTION?",OFFSET('Metagenomic Sample Plates'!L$34, ROW(L4)-1*Sheet3!$B3,COLUMN(L4)-2*Sheet3!M$1)  &amp;" (1:" &amp; 'Paste Sample Names Here'!$O$3 &amp; ")"))</f>
        <v/>
      </c>
      <c r="N4" s="87" t="str">
        <f ca="1" xml:space="preserve"> IF(OFFSET('Metagenomic Sample Plates'!N$12, ROW(N4)-1*Sheet3!$B3,COLUMN(N4)-2*Sheet3!O$1)="", "", IF('Paste Sample Names Here'!$G$3="", "DILUTION?", OFFSET('Metagenomic Sample Plates'!N$12, ROW(N4)-1*Sheet3!$B3,COLUMN(N4)-2*Sheet3!O$1)  &amp;" (1:" &amp; 'Paste Sample Names Here'!$G$3 &amp; ")"))</f>
        <v/>
      </c>
      <c r="O4" s="104" t="str">
        <f ca="1" xml:space="preserve"> IF(OFFSET('Metagenomic Sample Plates'!N$34, ROW(N4)-1*Sheet3!$B3,COLUMN(N4)-2*Sheet3!O$1)="", "", IF('Paste Sample Names Here'!$O$3="", "DILUTION?",OFFSET('Metagenomic Sample Plates'!N$34, ROW(N4)-1*Sheet3!$B3,COLUMN(N4)-2*Sheet3!O$1)  &amp;" (1:" &amp; 'Paste Sample Names Here'!$O$3 &amp; ")"))</f>
        <v/>
      </c>
      <c r="P4" s="87" t="str">
        <f ca="1" xml:space="preserve"> IF(OFFSET('Metagenomic Sample Plates'!P$12, ROW(P4)-1*Sheet3!$B3,COLUMN(P4)-2*Sheet3!Q$1)="", "", IF('Paste Sample Names Here'!$G$3="", "DILUTION?", OFFSET('Metagenomic Sample Plates'!P$12, ROW(P4)-1*Sheet3!$B3,COLUMN(P4)-2*Sheet3!Q$1)  &amp;" (1:" &amp; 'Paste Sample Names Here'!$G$3 &amp; ")"))</f>
        <v/>
      </c>
      <c r="Q4" s="104" t="str">
        <f ca="1" xml:space="preserve"> IF(OFFSET('Metagenomic Sample Plates'!P$34, ROW(P4)-1*Sheet3!$B3,COLUMN(P4)-2*Sheet3!Q$1)="", "", IF('Paste Sample Names Here'!$O$3="", "DILUTION?",OFFSET('Metagenomic Sample Plates'!P$34, ROW(P4)-1*Sheet3!$B3,COLUMN(P4)-2*Sheet3!Q$1)  &amp;" (1:" &amp; 'Paste Sample Names Here'!$O$3 &amp; ")"))</f>
        <v/>
      </c>
      <c r="R4" s="87" t="str">
        <f ca="1" xml:space="preserve"> IF(OFFSET('Metagenomic Sample Plates'!R$12, ROW(R4)-1*Sheet3!$B3,COLUMN(R4)-2*Sheet3!S$1)="", "", IF('Paste Sample Names Here'!$G$3="", "DILUTION?", OFFSET('Metagenomic Sample Plates'!R$12, ROW(R4)-1*Sheet3!$B3,COLUMN(R4)-2*Sheet3!S$1)  &amp;" (1:" &amp; 'Paste Sample Names Here'!$G$3 &amp; ")"))</f>
        <v/>
      </c>
      <c r="S4" s="104" t="str">
        <f ca="1" xml:space="preserve"> IF(OFFSET('Metagenomic Sample Plates'!R$34, ROW(R4)-1*Sheet3!$B3,COLUMN(R4)-2*Sheet3!S$1)="", "", IF('Paste Sample Names Here'!$O$3="", "DILUTION?",OFFSET('Metagenomic Sample Plates'!R$34, ROW(R4)-1*Sheet3!$B3,COLUMN(R4)-2*Sheet3!S$1)  &amp;" (1:" &amp; 'Paste Sample Names Here'!$O$3 &amp; ")"))</f>
        <v/>
      </c>
      <c r="T4" s="87" t="str">
        <f ca="1" xml:space="preserve"> IF(OFFSET('Metagenomic Sample Plates'!T$12, ROW(T4)-1*Sheet3!$B3,COLUMN(T4)-2*Sheet3!U$1)="", "", IF('Paste Sample Names Here'!$G$3="", "DILUTION?", OFFSET('Metagenomic Sample Plates'!T$12, ROW(T4)-1*Sheet3!$B3,COLUMN(T4)-2*Sheet3!U$1)  &amp;" (1:" &amp; 'Paste Sample Names Here'!$G$3 &amp; ")"))</f>
        <v/>
      </c>
      <c r="U4" s="104" t="str">
        <f ca="1" xml:space="preserve"> IF(OFFSET('Metagenomic Sample Plates'!T$34, ROW(T4)-1*Sheet3!$B3,COLUMN(T4)-2*Sheet3!U$1)="", "", IF('Paste Sample Names Here'!$O$3="", "DILUTION?",OFFSET('Metagenomic Sample Plates'!T$34, ROW(T4)-1*Sheet3!$B3,COLUMN(T4)-2*Sheet3!U$1)  &amp;" (1:" &amp; 'Paste Sample Names Here'!$O$3 &amp; ")"))</f>
        <v/>
      </c>
      <c r="V4" s="87" t="str">
        <f ca="1" xml:space="preserve"> IF(OFFSET('Metagenomic Sample Plates'!V$12, ROW(V4)-1*Sheet3!$B3,COLUMN(V4)-2*Sheet3!W$1)="", "", IF('Paste Sample Names Here'!$G$3="", "DILUTION?", OFFSET('Metagenomic Sample Plates'!V$12, ROW(V4)-1*Sheet3!$B3,COLUMN(V4)-2*Sheet3!W$1)  &amp;" (1:" &amp; 'Paste Sample Names Here'!$G$3 &amp; ")"))</f>
        <v/>
      </c>
      <c r="W4" s="104" t="str">
        <f ca="1" xml:space="preserve">  IF(OFFSET('Metagenomic Sample Plates'!V$34, ROW(V4)-1*Sheet3!$B3,COLUMN(V4)-2*Sheet3!W$1)="NTC","NTC", IF(OFFSET('Metagenomic Sample Plates'!V$34, ROW(V4)-1*Sheet3!$B3,COLUMN(V4)-2*Sheet3!W$1)="", "", IF('Paste Sample Names Here'!$O$3="", "DILUTION?",OFFSET('Metagenomic Sample Plates'!V$34, ROW(V4)-1*Sheet3!$B3,COLUMN(V4)-2*Sheet3!W$1)  &amp;" (1:" &amp; 'Paste Sample Names Here'!$O$3 &amp; ")")))</f>
        <v/>
      </c>
      <c r="X4" s="87" t="str">
        <f ca="1" xml:space="preserve"> IF(OFFSET('Metagenomic Sample Plates'!X$12, ROW(X4)-1*Sheet3!$B3,COLUMN(X4)-2*Sheet3!Y$1)="", "", IF('Paste Sample Names Here'!$G$3="", "DILUTION?", OFFSET('Metagenomic Sample Plates'!X$12, ROW(X4)-1*Sheet3!$B3,COLUMN(X4)-2*Sheet3!Y$1)  &amp;" (1:" &amp; 'Paste Sample Names Here'!$G$3 &amp; ")"))</f>
        <v/>
      </c>
      <c r="Y4" s="104" t="str">
        <f ca="1">IF(OFFSET('Metagenomic Sample Plates'!X$34, ROW(X4)-1*Sheet3!$B3,COLUMN(X4)-2*Sheet3!Y$1)="", "",OFFSET('Metagenomic Sample Plates'!X$34, ROW(X4)-1*Sheet3!$B3,COLUMN(X4)-2*Sheet3!Y$1))</f>
        <v>Standard 1</v>
      </c>
    </row>
    <row r="5" spans="1:25" s="28" customFormat="1" ht="40" customHeight="1" x14ac:dyDescent="0.2">
      <c r="A5" s="25" t="s">
        <v>2</v>
      </c>
      <c r="B5" s="85" t="str">
        <f ca="1" xml:space="preserve"> IF(OFFSET('Metagenomic Sample Plates'!B$2, ROW()-1*Sheet3!$B5,COLUMN()-2*Sheet3!C$1)="", "", IF('Paste Sample Names Here'!$C$3="", "DILUTION?", OFFSET('Metagenomic Sample Plates'!B$2, ROW()-1*Sheet3!$B5,COLUMN()-2*Sheet3!C$1)  &amp; " (1:" &amp; 'Paste Sample Names Here'!$C$3 &amp; ")"))</f>
        <v>2AP6 (1:1000)</v>
      </c>
      <c r="C5" s="86" t="str">
        <f ca="1" xml:space="preserve"> IF(OFFSET('Metagenomic Sample Plates'!B$23, ROW(B6)-1*Sheet3!$B5,COLUMN(B6)-2*Sheet3!C$1)="", "", IF('Paste Sample Names Here'!$K$3="", "DILUTION?", OFFSET('Metagenomic Sample Plates'!B$23, ROW(B6)-1*Sheet3!$B5,COLUMN(B6)-2*Sheet3!C$1)  &amp;" (1:" &amp;'Paste Sample Names Here'!$K$3 &amp; ")"))</f>
        <v/>
      </c>
      <c r="D5" s="85" t="str">
        <f ca="1" xml:space="preserve"> IF(OFFSET('Metagenomic Sample Plates'!D$2, ROW()-1*Sheet3!$B5,COLUMN()-2*Sheet3!E$1)="", "", IF('Paste Sample Names Here'!$C$3="", "DILUTION?", OFFSET('Metagenomic Sample Plates'!D$2, ROW()-1*Sheet3!$B5,COLUMN()-2*Sheet3!E$1)  &amp; " (1:" &amp; 'Paste Sample Names Here'!$C$3 &amp; ")"))</f>
        <v>2AP14 (1:1000)</v>
      </c>
      <c r="E5" s="86" t="str">
        <f ca="1" xml:space="preserve"> IF(OFFSET('Metagenomic Sample Plates'!D$23, ROW(D6)-1*Sheet3!$B5,COLUMN(D6)-2*Sheet3!E$1)="", "", IF('Paste Sample Names Here'!$K$3="", "DILUTION?", OFFSET('Metagenomic Sample Plates'!D$23, ROW(D6)-1*Sheet3!$B5,COLUMN(D6)-2*Sheet3!E$1)  &amp;" (1:" &amp;'Paste Sample Names Here'!$K$3 &amp; ")"))</f>
        <v/>
      </c>
      <c r="F5" s="85" t="str">
        <f ca="1" xml:space="preserve"> IF(OFFSET('Metagenomic Sample Plates'!F$2, ROW()-1*Sheet3!$B5,COLUMN()-2*Sheet3!G$1)="", "", IF('Paste Sample Names Here'!$C$3="", "DILUTION?", OFFSET('Metagenomic Sample Plates'!F$2, ROW()-1*Sheet3!$B5,COLUMN()-2*Sheet3!G$1)  &amp; " (1:" &amp; 'Paste Sample Names Here'!$C$3 &amp; ")"))</f>
        <v>2AP22 (1:1000)</v>
      </c>
      <c r="G5" s="86" t="str">
        <f ca="1" xml:space="preserve"> IF(OFFSET('Metagenomic Sample Plates'!F$23, ROW(F6)-1*Sheet3!$B5,COLUMN(F6)-2*Sheet3!G$1)="", "", IF('Paste Sample Names Here'!$K$3="", "DILUTION?", OFFSET('Metagenomic Sample Plates'!F$23, ROW(F6)-1*Sheet3!$B5,COLUMN(F6)-2*Sheet3!G$1)  &amp;" (1:" &amp;'Paste Sample Names Here'!$K$3 &amp; ")"))</f>
        <v/>
      </c>
      <c r="H5" s="85" t="str">
        <f ca="1" xml:space="preserve"> IF(OFFSET('Metagenomic Sample Plates'!H$2, ROW()-1*Sheet3!$B5,COLUMN()-2*Sheet3!I$1)="", "", IF('Paste Sample Names Here'!$C$3="", "DILUTION?", OFFSET('Metagenomic Sample Plates'!H$2, ROW()-1*Sheet3!$B5,COLUMN()-2*Sheet3!I$1)  &amp; " (1:" &amp; 'Paste Sample Names Here'!$C$3 &amp; ")"))</f>
        <v>2AP30 (1:1000)</v>
      </c>
      <c r="I5" s="86" t="str">
        <f ca="1" xml:space="preserve"> IF(OFFSET('Metagenomic Sample Plates'!H$23, ROW(H6)-1*Sheet3!$B5,COLUMN(H6)-2*Sheet3!I$1)="", "", IF('Paste Sample Names Here'!$K$3="", "DILUTION?", OFFSET('Metagenomic Sample Plates'!H$23, ROW(H6)-1*Sheet3!$B5,COLUMN(H6)-2*Sheet3!I$1)  &amp;" (1:" &amp;'Paste Sample Names Here'!$K$3 &amp; ")"))</f>
        <v/>
      </c>
      <c r="J5" s="85" t="str">
        <f ca="1" xml:space="preserve"> IF(OFFSET('Metagenomic Sample Plates'!J$2, ROW()-1*Sheet3!$B5,COLUMN()-2*Sheet3!K$1)="", "", IF('Paste Sample Names Here'!$C$3="", "DILUTION?", OFFSET('Metagenomic Sample Plates'!J$2, ROW()-1*Sheet3!$B5,COLUMN()-2*Sheet3!K$1)  &amp; " (1:" &amp; 'Paste Sample Names Here'!$C$3 &amp; ")"))</f>
        <v>L0P12 (1:1000)</v>
      </c>
      <c r="K5" s="86" t="str">
        <f ca="1" xml:space="preserve"> IF(OFFSET('Metagenomic Sample Plates'!J$23, ROW(J6)-1*Sheet3!$B5,COLUMN(J6)-2*Sheet3!K$1)="", "", IF('Paste Sample Names Here'!$K$3="", "DILUTION?", OFFSET('Metagenomic Sample Plates'!J$23, ROW(J6)-1*Sheet3!$B5,COLUMN(J6)-2*Sheet3!K$1)  &amp;" (1:" &amp;'Paste Sample Names Here'!$K$3 &amp; ")"))</f>
        <v/>
      </c>
      <c r="L5" s="85" t="str">
        <f ca="1" xml:space="preserve"> IF(OFFSET('Metagenomic Sample Plates'!L$2, ROW()-1*Sheet3!$B5,COLUMN()-2*Sheet3!M$1)="", "", IF('Paste Sample Names Here'!$C$3="", "DILUTION?", OFFSET('Metagenomic Sample Plates'!L$2, ROW()-1*Sheet3!$B5,COLUMN()-2*Sheet3!M$1)  &amp; " (1:" &amp; 'Paste Sample Names Here'!$C$3 &amp; ")"))</f>
        <v>L0P20 (1:1000)</v>
      </c>
      <c r="M5" s="86" t="str">
        <f ca="1" xml:space="preserve"> IF(OFFSET('Metagenomic Sample Plates'!L$23, ROW(L6)-1*Sheet3!$B5,COLUMN(L6)-2*Sheet3!M$1)="", "", IF('Paste Sample Names Here'!$K$3="", "DILUTION?", OFFSET('Metagenomic Sample Plates'!L$23, ROW(L6)-1*Sheet3!$B5,COLUMN(L6)-2*Sheet3!M$1)  &amp;" (1:" &amp;'Paste Sample Names Here'!$K$3 &amp; ")"))</f>
        <v/>
      </c>
      <c r="N5" s="85" t="str">
        <f ca="1" xml:space="preserve"> IF(OFFSET('Metagenomic Sample Plates'!N$2, ROW()-1*Sheet3!$B5,COLUMN()-2*Sheet3!O$1)="", "", IF('Paste Sample Names Here'!$C$3="", "DILUTION?", OFFSET('Metagenomic Sample Plates'!N$2, ROW()-1*Sheet3!$B5,COLUMN()-2*Sheet3!O$1)  &amp; " (1:" &amp; 'Paste Sample Names Here'!$C$3 &amp; ")"))</f>
        <v>L0P28 (1:1000)</v>
      </c>
      <c r="O5" s="86" t="str">
        <f ca="1" xml:space="preserve"> IF(OFFSET('Metagenomic Sample Plates'!N$23, ROW(N6)-1*Sheet3!$B5,COLUMN(N6)-2*Sheet3!O$1)="", "", IF('Paste Sample Names Here'!$K$3="", "DILUTION?", OFFSET('Metagenomic Sample Plates'!N$23, ROW(N6)-1*Sheet3!$B5,COLUMN(N6)-2*Sheet3!O$1)  &amp;" (1:" &amp;'Paste Sample Names Here'!$K$3 &amp; ")"))</f>
        <v/>
      </c>
      <c r="P5" s="85" t="str">
        <f ca="1" xml:space="preserve"> IF(OFFSET('Metagenomic Sample Plates'!P$2, ROW()-1*Sheet3!$B5,COLUMN()-2*Sheet3!Q$1)="", "", IF('Paste Sample Names Here'!$C$3="", "DILUTION?", OFFSET('Metagenomic Sample Plates'!P$2, ROW()-1*Sheet3!$B5,COLUMN()-2*Sheet3!Q$1)  &amp; " (1:" &amp; 'Paste Sample Names Here'!$C$3 &amp; ")"))</f>
        <v>BarLP6C (1:1000)</v>
      </c>
      <c r="Q5" s="86" t="str">
        <f ca="1" xml:space="preserve"> IF(OFFSET('Metagenomic Sample Plates'!P$23, ROW(P6)-1*Sheet3!$B5,COLUMN(P6)-2*Sheet3!Q$1)="", "", IF('Paste Sample Names Here'!$K$3="", "DILUTION?", OFFSET('Metagenomic Sample Plates'!P$23, ROW(P6)-1*Sheet3!$B5,COLUMN(P6)-2*Sheet3!Q$1)  &amp;" (1:" &amp;'Paste Sample Names Here'!$K$3 &amp; ")"))</f>
        <v/>
      </c>
      <c r="R5" s="85" t="str">
        <f ca="1" xml:space="preserve"> IF(OFFSET('Metagenomic Sample Plates'!R$2, ROW()-1*Sheet3!$B5,COLUMN()-2*Sheet3!S$1)="", "", IF('Paste Sample Names Here'!$C$3="", "DILUTION?", OFFSET('Metagenomic Sample Plates'!R$2, ROW()-1*Sheet3!$B5,COLUMN()-2*Sheet3!S$1)  &amp; " (1:" &amp; 'Paste Sample Names Here'!$C$3 &amp; ")"))</f>
        <v>BarLP14C (1:1000)</v>
      </c>
      <c r="S5" s="86" t="str">
        <f ca="1" xml:space="preserve"> IF(OFFSET('Metagenomic Sample Plates'!R$23, ROW(R6)-1*Sheet3!$B5,COLUMN(R6)-2*Sheet3!S$1)="", "", IF('Paste Sample Names Here'!$K$3="", "DILUTION?", OFFSET('Metagenomic Sample Plates'!R$23, ROW(R6)-1*Sheet3!$B5,COLUMN(R6)-2*Sheet3!S$1)  &amp;" (1:" &amp;'Paste Sample Names Here'!$K$3 &amp; ")"))</f>
        <v/>
      </c>
      <c r="T5" s="85" t="str">
        <f ca="1" xml:space="preserve"> IF(OFFSET('Metagenomic Sample Plates'!T$2, ROW()-1*Sheet3!$B5,COLUMN()-2*Sheet3!U$1)="", "", IF('Paste Sample Names Here'!$C$3="", "DILUTION?", OFFSET('Metagenomic Sample Plates'!T$2, ROW()-1*Sheet3!$B5,COLUMN()-2*Sheet3!U$1)  &amp; " (1:" &amp; 'Paste Sample Names Here'!$C$3 &amp; ")"))</f>
        <v>BarLP8H (1:1000)</v>
      </c>
      <c r="U5" s="86" t="str">
        <f ca="1" xml:space="preserve"> IF(OFFSET('Metagenomic Sample Plates'!T$23, ROW(T6)-1*Sheet3!$B5,COLUMN(T6)-2*Sheet3!U$1)="", "", IF('Paste Sample Names Here'!$K$3="", "DILUTION?", OFFSET('Metagenomic Sample Plates'!T$23, ROW(T6)-1*Sheet3!$B5,COLUMN(T6)-2*Sheet3!U$1)  &amp;" (1:" &amp;'Paste Sample Names Here'!$K$3 &amp; ")"))</f>
        <v/>
      </c>
      <c r="V5" s="85" t="str">
        <f ca="1" xml:space="preserve"> IF(OFFSET('Metagenomic Sample Plates'!V$2, ROW()-1*Sheet3!$B5,COLUMN()-2*Sheet3!W$1)="", "", IF('Paste Sample Names Here'!$C$3="", "DILUTION?", OFFSET('Metagenomic Sample Plates'!V$2, ROW()-1*Sheet3!$B5,COLUMN()-2*Sheet3!W$1)  &amp; " (1:" &amp; 'Paste Sample Names Here'!$C$3 &amp; ")"))</f>
        <v>BarLP16H (1:1000)</v>
      </c>
      <c r="W5" s="86" t="str">
        <f ca="1" xml:space="preserve"> IF(OFFSET('Metagenomic Sample Plates'!V$23, ROW(V6)-1*Sheet3!$B5,COLUMN(V6)-2*Sheet3!W$1)="", "", IF('Paste Sample Names Here'!$K$3="", "DILUTION?", OFFSET('Metagenomic Sample Plates'!V$23, ROW(V6)-1*Sheet3!$B5,COLUMN(V6)-2*Sheet3!W$1)  &amp;" (1:" &amp;'Paste Sample Names Here'!$K$3 &amp; ")"))</f>
        <v/>
      </c>
      <c r="X5" s="85" t="str">
        <f ca="1" xml:space="preserve"> IF(OFFSET('Metagenomic Sample Plates'!X$2, ROW()-1*Sheet3!$B5,COLUMN()-2*Sheet3!Y$1)="", "", IF('Paste Sample Names Here'!$C$3="", "DILUTION?", OFFSET('Metagenomic Sample Plates'!X$2, ROW()-1*Sheet3!$B5,COLUMN()-2*Sheet3!Y$1)  &amp; " (1:" &amp; 'Paste Sample Names Here'!$C$3 &amp; ")"))</f>
        <v>L0 (1:1000)</v>
      </c>
      <c r="Y5" s="86" t="str">
        <f ca="1">IF(OFFSET('Metagenomic Sample Plates'!X$23, ROW(X6)-1*Sheet3!$B5,COLUMN(X6)-2*Sheet3!Y$1)="", "",OFFSET('Metagenomic Sample Plates'!X$23, ROW(X6)-1*Sheet3!$B5,COLUMN(X6)-2*Sheet3!Y$1))</f>
        <v/>
      </c>
    </row>
    <row r="6" spans="1:25" s="28" customFormat="1" ht="40" customHeight="1" x14ac:dyDescent="0.2">
      <c r="A6" s="25" t="s">
        <v>3</v>
      </c>
      <c r="B6" s="87" t="str">
        <f ca="1" xml:space="preserve"> IF(OFFSET('Metagenomic Sample Plates'!B$12, ROW(B6)-1*Sheet3!$B5,COLUMN(B6)-2*Sheet3!C$1)="", "", IF('Paste Sample Names Here'!$G$3="", "DILUTION?", OFFSET('Metagenomic Sample Plates'!B$12, ROW(B6)-1*Sheet3!$B5,COLUMN(B6)-2*Sheet3!C$1)  &amp;" (1:" &amp; 'Paste Sample Names Here'!$G$3 &amp; ")"))</f>
        <v/>
      </c>
      <c r="C6" s="104" t="str">
        <f ca="1" xml:space="preserve"> IF(OFFSET('Metagenomic Sample Plates'!B$34, ROW(B6)-1*Sheet3!$B5,COLUMN(B6)-2*Sheet3!C$1)="", "", IF('Paste Sample Names Here'!$O$3="", "DILUTION?",OFFSET('Metagenomic Sample Plates'!B$34, ROW(B6)-1*Sheet3!$B5,COLUMN(B6)-2*Sheet3!C$1)  &amp;" (1:" &amp; 'Paste Sample Names Here'!$O$3 &amp; ")"))</f>
        <v/>
      </c>
      <c r="D6" s="87" t="str">
        <f ca="1" xml:space="preserve"> IF(OFFSET('Metagenomic Sample Plates'!D$12, ROW(D6)-1*Sheet3!$B5,COLUMN(D6)-2*Sheet3!E$1)="", "", IF('Paste Sample Names Here'!$G$3="", "DILUTION?", OFFSET('Metagenomic Sample Plates'!D$12, ROW(D6)-1*Sheet3!$B5,COLUMN(D6)-2*Sheet3!E$1)  &amp;" (1:" &amp; 'Paste Sample Names Here'!$G$3 &amp; ")"))</f>
        <v/>
      </c>
      <c r="E6" s="104" t="str">
        <f ca="1" xml:space="preserve"> IF(OFFSET('Metagenomic Sample Plates'!D$34, ROW(D6)-1*Sheet3!$B5,COLUMN(D6)-2*Sheet3!E$1)="", "", IF('Paste Sample Names Here'!$O$3="", "DILUTION?",OFFSET('Metagenomic Sample Plates'!D$34, ROW(D6)-1*Sheet3!$B5,COLUMN(D6)-2*Sheet3!E$1)  &amp;" (1:" &amp; 'Paste Sample Names Here'!$O$3 &amp; ")"))</f>
        <v/>
      </c>
      <c r="F6" s="87" t="str">
        <f ca="1" xml:space="preserve"> IF(OFFSET('Metagenomic Sample Plates'!F$12, ROW(F6)-1*Sheet3!$B5,COLUMN(F6)-2*Sheet3!G$1)="", "", IF('Paste Sample Names Here'!$G$3="", "DILUTION?", OFFSET('Metagenomic Sample Plates'!F$12, ROW(F6)-1*Sheet3!$B5,COLUMN(F6)-2*Sheet3!G$1)  &amp;" (1:" &amp; 'Paste Sample Names Here'!$G$3 &amp; ")"))</f>
        <v/>
      </c>
      <c r="G6" s="104" t="str">
        <f ca="1" xml:space="preserve"> IF(OFFSET('Metagenomic Sample Plates'!F$34, ROW(F6)-1*Sheet3!$B5,COLUMN(F6)-2*Sheet3!G$1)="", "", IF('Paste Sample Names Here'!$O$3="", "DILUTION?",OFFSET('Metagenomic Sample Plates'!F$34, ROW(F6)-1*Sheet3!$B5,COLUMN(F6)-2*Sheet3!G$1)  &amp;" (1:" &amp; 'Paste Sample Names Here'!$O$3 &amp; ")"))</f>
        <v/>
      </c>
      <c r="H6" s="87" t="str">
        <f ca="1" xml:space="preserve"> IF(OFFSET('Metagenomic Sample Plates'!H$12, ROW(H6)-1*Sheet3!$B5,COLUMN(H6)-2*Sheet3!I$1)="", "", IF('Paste Sample Names Here'!$G$3="", "DILUTION?", OFFSET('Metagenomic Sample Plates'!H$12, ROW(H6)-1*Sheet3!$B5,COLUMN(H6)-2*Sheet3!I$1)  &amp;" (1:" &amp; 'Paste Sample Names Here'!$G$3 &amp; ")"))</f>
        <v/>
      </c>
      <c r="I6" s="104" t="str">
        <f ca="1" xml:space="preserve"> IF(OFFSET('Metagenomic Sample Plates'!H$34, ROW(H6)-1*Sheet3!$B5,COLUMN(H6)-2*Sheet3!I$1)="", "", IF('Paste Sample Names Here'!$O$3="", "DILUTION?",OFFSET('Metagenomic Sample Plates'!H$34, ROW(H6)-1*Sheet3!$B5,COLUMN(H6)-2*Sheet3!I$1)  &amp;" (1:" &amp; 'Paste Sample Names Here'!$O$3 &amp; ")"))</f>
        <v/>
      </c>
      <c r="J6" s="87" t="str">
        <f ca="1" xml:space="preserve"> IF(OFFSET('Metagenomic Sample Plates'!J$12, ROW(J6)-1*Sheet3!$B5,COLUMN(J6)-2*Sheet3!K$1)="", "", IF('Paste Sample Names Here'!$G$3="", "DILUTION?", OFFSET('Metagenomic Sample Plates'!J$12, ROW(J6)-1*Sheet3!$B5,COLUMN(J6)-2*Sheet3!K$1)  &amp;" (1:" &amp; 'Paste Sample Names Here'!$G$3 &amp; ")"))</f>
        <v/>
      </c>
      <c r="K6" s="104" t="str">
        <f ca="1" xml:space="preserve"> IF(OFFSET('Metagenomic Sample Plates'!J$34, ROW(J6)-1*Sheet3!$B5,COLUMN(J6)-2*Sheet3!K$1)="", "", IF('Paste Sample Names Here'!$O$3="", "DILUTION?",OFFSET('Metagenomic Sample Plates'!J$34, ROW(J6)-1*Sheet3!$B5,COLUMN(J6)-2*Sheet3!K$1)  &amp;" (1:" &amp; 'Paste Sample Names Here'!$O$3 &amp; ")"))</f>
        <v/>
      </c>
      <c r="L6" s="87" t="str">
        <f ca="1" xml:space="preserve"> IF(OFFSET('Metagenomic Sample Plates'!L$12, ROW(L6)-1*Sheet3!$B5,COLUMN(L6)-2*Sheet3!M$1)="", "", IF('Paste Sample Names Here'!$G$3="", "DILUTION?", OFFSET('Metagenomic Sample Plates'!L$12, ROW(L6)-1*Sheet3!$B5,COLUMN(L6)-2*Sheet3!M$1)  &amp;" (1:" &amp; 'Paste Sample Names Here'!$G$3 &amp; ")"))</f>
        <v/>
      </c>
      <c r="M6" s="104" t="str">
        <f ca="1" xml:space="preserve"> IF(OFFSET('Metagenomic Sample Plates'!L$34, ROW(L6)-1*Sheet3!$B5,COLUMN(L6)-2*Sheet3!M$1)="", "", IF('Paste Sample Names Here'!$O$3="", "DILUTION?",OFFSET('Metagenomic Sample Plates'!L$34, ROW(L6)-1*Sheet3!$B5,COLUMN(L6)-2*Sheet3!M$1)  &amp;" (1:" &amp; 'Paste Sample Names Here'!$O$3 &amp; ")"))</f>
        <v/>
      </c>
      <c r="N6" s="87" t="str">
        <f ca="1" xml:space="preserve"> IF(OFFSET('Metagenomic Sample Plates'!N$12, ROW(N6)-1*Sheet3!$B5,COLUMN(N6)-2*Sheet3!O$1)="", "", IF('Paste Sample Names Here'!$G$3="", "DILUTION?", OFFSET('Metagenomic Sample Plates'!N$12, ROW(N6)-1*Sheet3!$B5,COLUMN(N6)-2*Sheet3!O$1)  &amp;" (1:" &amp; 'Paste Sample Names Here'!$G$3 &amp; ")"))</f>
        <v/>
      </c>
      <c r="O6" s="104" t="str">
        <f ca="1" xml:space="preserve"> IF(OFFSET('Metagenomic Sample Plates'!N$34, ROW(N6)-1*Sheet3!$B5,COLUMN(N6)-2*Sheet3!O$1)="", "", IF('Paste Sample Names Here'!$O$3="", "DILUTION?",OFFSET('Metagenomic Sample Plates'!N$34, ROW(N6)-1*Sheet3!$B5,COLUMN(N6)-2*Sheet3!O$1)  &amp;" (1:" &amp; 'Paste Sample Names Here'!$O$3 &amp; ")"))</f>
        <v/>
      </c>
      <c r="P6" s="87" t="str">
        <f ca="1" xml:space="preserve"> IF(OFFSET('Metagenomic Sample Plates'!P$12, ROW(P6)-1*Sheet3!$B5,COLUMN(P6)-2*Sheet3!Q$1)="", "", IF('Paste Sample Names Here'!$G$3="", "DILUTION?", OFFSET('Metagenomic Sample Plates'!P$12, ROW(P6)-1*Sheet3!$B5,COLUMN(P6)-2*Sheet3!Q$1)  &amp;" (1:" &amp; 'Paste Sample Names Here'!$G$3 &amp; ")"))</f>
        <v/>
      </c>
      <c r="Q6" s="104" t="str">
        <f ca="1" xml:space="preserve"> IF(OFFSET('Metagenomic Sample Plates'!P$34, ROW(P6)-1*Sheet3!$B5,COLUMN(P6)-2*Sheet3!Q$1)="", "", IF('Paste Sample Names Here'!$O$3="", "DILUTION?",OFFSET('Metagenomic Sample Plates'!P$34, ROW(P6)-1*Sheet3!$B5,COLUMN(P6)-2*Sheet3!Q$1)  &amp;" (1:" &amp; 'Paste Sample Names Here'!$O$3 &amp; ")"))</f>
        <v/>
      </c>
      <c r="R6" s="87" t="str">
        <f ca="1" xml:space="preserve"> IF(OFFSET('Metagenomic Sample Plates'!R$12, ROW(R6)-1*Sheet3!$B5,COLUMN(R6)-2*Sheet3!S$1)="", "", IF('Paste Sample Names Here'!$G$3="", "DILUTION?", OFFSET('Metagenomic Sample Plates'!R$12, ROW(R6)-1*Sheet3!$B5,COLUMN(R6)-2*Sheet3!S$1)  &amp;" (1:" &amp; 'Paste Sample Names Here'!$G$3 &amp; ")"))</f>
        <v/>
      </c>
      <c r="S6" s="104" t="str">
        <f ca="1" xml:space="preserve"> IF(OFFSET('Metagenomic Sample Plates'!R$34, ROW(R6)-1*Sheet3!$B5,COLUMN(R6)-2*Sheet3!S$1)="", "", IF('Paste Sample Names Here'!$O$3="", "DILUTION?",OFFSET('Metagenomic Sample Plates'!R$34, ROW(R6)-1*Sheet3!$B5,COLUMN(R6)-2*Sheet3!S$1)  &amp;" (1:" &amp; 'Paste Sample Names Here'!$O$3 &amp; ")"))</f>
        <v/>
      </c>
      <c r="T6" s="87" t="str">
        <f ca="1" xml:space="preserve"> IF(OFFSET('Metagenomic Sample Plates'!T$12, ROW(T6)-1*Sheet3!$B5,COLUMN(T6)-2*Sheet3!U$1)="", "", IF('Paste Sample Names Here'!$G$3="", "DILUTION?", OFFSET('Metagenomic Sample Plates'!T$12, ROW(T6)-1*Sheet3!$B5,COLUMN(T6)-2*Sheet3!U$1)  &amp;" (1:" &amp; 'Paste Sample Names Here'!$G$3 &amp; ")"))</f>
        <v/>
      </c>
      <c r="U6" s="104" t="str">
        <f ca="1" xml:space="preserve"> IF(OFFSET('Metagenomic Sample Plates'!T$34, ROW(T6)-1*Sheet3!$B5,COLUMN(T6)-2*Sheet3!U$1)="", "", IF('Paste Sample Names Here'!$O$3="", "DILUTION?",OFFSET('Metagenomic Sample Plates'!T$34, ROW(T6)-1*Sheet3!$B5,COLUMN(T6)-2*Sheet3!U$1)  &amp;" (1:" &amp; 'Paste Sample Names Here'!$O$3 &amp; ")"))</f>
        <v/>
      </c>
      <c r="V6" s="87" t="str">
        <f ca="1" xml:space="preserve"> IF(OFFSET('Metagenomic Sample Plates'!V$12, ROW(V6)-1*Sheet3!$B5,COLUMN(V6)-2*Sheet3!W$1)="", "", IF('Paste Sample Names Here'!$G$3="", "DILUTION?", OFFSET('Metagenomic Sample Plates'!V$12, ROW(V6)-1*Sheet3!$B5,COLUMN(V6)-2*Sheet3!W$1)  &amp;" (1:" &amp; 'Paste Sample Names Here'!$G$3 &amp; ")"))</f>
        <v/>
      </c>
      <c r="W6" s="104" t="str">
        <f ca="1" xml:space="preserve">  IF(OFFSET('Metagenomic Sample Plates'!V$34, ROW(V6)-1*Sheet3!$B5,COLUMN(V6)-2*Sheet3!W$1)="NTC","NTC", IF(OFFSET('Metagenomic Sample Plates'!V$34, ROW(V6)-1*Sheet3!$B5,COLUMN(V6)-2*Sheet3!W$1)="", "", IF('Paste Sample Names Here'!$O$3="", "DILUTION?",OFFSET('Metagenomic Sample Plates'!V$34, ROW(V6)-1*Sheet3!$B5,COLUMN(V6)-2*Sheet3!W$1)  &amp;" (1:" &amp; 'Paste Sample Names Here'!$O$3 &amp; ")")))</f>
        <v/>
      </c>
      <c r="X6" s="87" t="str">
        <f ca="1" xml:space="preserve"> IF(OFFSET('Metagenomic Sample Plates'!X$12, ROW(X6)-1*Sheet3!$B5,COLUMN(X6)-2*Sheet3!Y$1)="", "", IF('Paste Sample Names Here'!$G$3="", "DILUTION?", OFFSET('Metagenomic Sample Plates'!X$12, ROW(X6)-1*Sheet3!$B5,COLUMN(X6)-2*Sheet3!Y$1)  &amp;" (1:" &amp; 'Paste Sample Names Here'!$G$3 &amp; ")"))</f>
        <v/>
      </c>
      <c r="Y6" s="104" t="str">
        <f ca="1">IF(OFFSET('Metagenomic Sample Plates'!X$34, ROW(X6)-1*Sheet3!$B5,COLUMN(X6)-2*Sheet3!Y$1)="", "",OFFSET('Metagenomic Sample Plates'!X$34, ROW(X6)-1*Sheet3!$B5,COLUMN(X6)-2*Sheet3!Y$1))</f>
        <v>Standard 2</v>
      </c>
    </row>
    <row r="7" spans="1:25" s="28" customFormat="1" ht="40" customHeight="1" x14ac:dyDescent="0.2">
      <c r="A7" s="25" t="s">
        <v>4</v>
      </c>
      <c r="B7" s="85" t="str">
        <f ca="1" xml:space="preserve"> IF(OFFSET('Metagenomic Sample Plates'!B$2, ROW()-1*Sheet3!$B7,COLUMN()-2*Sheet3!C$1)="", "", IF('Paste Sample Names Here'!$C$3="", "DILUTION?", OFFSET('Metagenomic Sample Plates'!B$2, ROW()-1*Sheet3!$B7,COLUMN()-2*Sheet3!C$1)  &amp; " (1:" &amp; 'Paste Sample Names Here'!$C$3 &amp; ")"))</f>
        <v>2AP7 (1:1000)</v>
      </c>
      <c r="C7" s="86" t="str">
        <f ca="1" xml:space="preserve"> IF(OFFSET('Metagenomic Sample Plates'!B$23, ROW(B8)-1*Sheet3!$B7,COLUMN(B8)-2*Sheet3!C$1)="", "", IF('Paste Sample Names Here'!$K$3="", "DILUTION?", OFFSET('Metagenomic Sample Plates'!B$23, ROW(B8)-1*Sheet3!$B7,COLUMN(B8)-2*Sheet3!C$1)  &amp;" (1:" &amp;'Paste Sample Names Here'!$K$3 &amp; ")"))</f>
        <v/>
      </c>
      <c r="D7" s="85" t="str">
        <f ca="1" xml:space="preserve"> IF(OFFSET('Metagenomic Sample Plates'!D$2, ROW()-1*Sheet3!$B7,COLUMN()-2*Sheet3!E$1)="", "", IF('Paste Sample Names Here'!$C$3="", "DILUTION?", OFFSET('Metagenomic Sample Plates'!D$2, ROW()-1*Sheet3!$B7,COLUMN()-2*Sheet3!E$1)  &amp; " (1:" &amp; 'Paste Sample Names Here'!$C$3 &amp; ")"))</f>
        <v>2AP15 (1:1000)</v>
      </c>
      <c r="E7" s="86" t="str">
        <f ca="1" xml:space="preserve"> IF(OFFSET('Metagenomic Sample Plates'!D$23, ROW(D8)-1*Sheet3!$B7,COLUMN(D8)-2*Sheet3!E$1)="", "", IF('Paste Sample Names Here'!$K$3="", "DILUTION?", OFFSET('Metagenomic Sample Plates'!D$23, ROW(D8)-1*Sheet3!$B7,COLUMN(D8)-2*Sheet3!E$1)  &amp;" (1:" &amp;'Paste Sample Names Here'!$K$3 &amp; ")"))</f>
        <v/>
      </c>
      <c r="F7" s="85" t="str">
        <f ca="1" xml:space="preserve"> IF(OFFSET('Metagenomic Sample Plates'!F$2, ROW()-1*Sheet3!$B7,COLUMN()-2*Sheet3!G$1)="", "", IF('Paste Sample Names Here'!$C$3="", "DILUTION?", OFFSET('Metagenomic Sample Plates'!F$2, ROW()-1*Sheet3!$B7,COLUMN()-2*Sheet3!G$1)  &amp; " (1:" &amp; 'Paste Sample Names Here'!$C$3 &amp; ")"))</f>
        <v>2AP23 (1:1000)</v>
      </c>
      <c r="G7" s="86" t="str">
        <f ca="1" xml:space="preserve"> IF(OFFSET('Metagenomic Sample Plates'!F$23, ROW(F8)-1*Sheet3!$B7,COLUMN(F8)-2*Sheet3!G$1)="", "", IF('Paste Sample Names Here'!$K$3="", "DILUTION?", OFFSET('Metagenomic Sample Plates'!F$23, ROW(F8)-1*Sheet3!$B7,COLUMN(F8)-2*Sheet3!G$1)  &amp;" (1:" &amp;'Paste Sample Names Here'!$K$3 &amp; ")"))</f>
        <v/>
      </c>
      <c r="H7" s="85" t="str">
        <f ca="1" xml:space="preserve"> IF(OFFSET('Metagenomic Sample Plates'!H$2, ROW()-1*Sheet3!$B7,COLUMN()-2*Sheet3!I$1)="", "", IF('Paste Sample Names Here'!$C$3="", "DILUTION?", OFFSET('Metagenomic Sample Plates'!H$2, ROW()-1*Sheet3!$B7,COLUMN()-2*Sheet3!I$1)  &amp; " (1:" &amp; 'Paste Sample Names Here'!$C$3 &amp; ")"))</f>
        <v>L0P5 (1:1000)</v>
      </c>
      <c r="I7" s="86" t="str">
        <f ca="1" xml:space="preserve"> IF(OFFSET('Metagenomic Sample Plates'!H$23, ROW(H8)-1*Sheet3!$B7,COLUMN(H8)-2*Sheet3!I$1)="", "", IF('Paste Sample Names Here'!$K$3="", "DILUTION?", OFFSET('Metagenomic Sample Plates'!H$23, ROW(H8)-1*Sheet3!$B7,COLUMN(H8)-2*Sheet3!I$1)  &amp;" (1:" &amp;'Paste Sample Names Here'!$K$3 &amp; ")"))</f>
        <v/>
      </c>
      <c r="J7" s="85" t="str">
        <f ca="1" xml:space="preserve"> IF(OFFSET('Metagenomic Sample Plates'!J$2, ROW()-1*Sheet3!$B7,COLUMN()-2*Sheet3!K$1)="", "", IF('Paste Sample Names Here'!$C$3="", "DILUTION?", OFFSET('Metagenomic Sample Plates'!J$2, ROW()-1*Sheet3!$B7,COLUMN()-2*Sheet3!K$1)  &amp; " (1:" &amp; 'Paste Sample Names Here'!$C$3 &amp; ")"))</f>
        <v>L0P13 (1:1000)</v>
      </c>
      <c r="K7" s="86" t="str">
        <f ca="1" xml:space="preserve"> IF(OFFSET('Metagenomic Sample Plates'!J$23, ROW(J8)-1*Sheet3!$B7,COLUMN(J8)-2*Sheet3!K$1)="", "", IF('Paste Sample Names Here'!$K$3="", "DILUTION?", OFFSET('Metagenomic Sample Plates'!J$23, ROW(J8)-1*Sheet3!$B7,COLUMN(J8)-2*Sheet3!K$1)  &amp;" (1:" &amp;'Paste Sample Names Here'!$K$3 &amp; ")"))</f>
        <v/>
      </c>
      <c r="L7" s="85" t="str">
        <f ca="1" xml:space="preserve"> IF(OFFSET('Metagenomic Sample Plates'!L$2, ROW()-1*Sheet3!$B7,COLUMN()-2*Sheet3!M$1)="", "", IF('Paste Sample Names Here'!$C$3="", "DILUTION?", OFFSET('Metagenomic Sample Plates'!L$2, ROW()-1*Sheet3!$B7,COLUMN()-2*Sheet3!M$1)  &amp; " (1:" &amp; 'Paste Sample Names Here'!$C$3 &amp; ")"))</f>
        <v>L0P21 (1:1000)</v>
      </c>
      <c r="M7" s="86" t="str">
        <f ca="1" xml:space="preserve"> IF(OFFSET('Metagenomic Sample Plates'!L$23, ROW(L8)-1*Sheet3!$B7,COLUMN(L8)-2*Sheet3!M$1)="", "", IF('Paste Sample Names Here'!$K$3="", "DILUTION?", OFFSET('Metagenomic Sample Plates'!L$23, ROW(L8)-1*Sheet3!$B7,COLUMN(L8)-2*Sheet3!M$1)  &amp;" (1:" &amp;'Paste Sample Names Here'!$K$3 &amp; ")"))</f>
        <v/>
      </c>
      <c r="N7" s="85" t="str">
        <f ca="1" xml:space="preserve"> IF(OFFSET('Metagenomic Sample Plates'!N$2, ROW()-1*Sheet3!$B7,COLUMN()-2*Sheet3!O$1)="", "", IF('Paste Sample Names Here'!$C$3="", "DILUTION?", OFFSET('Metagenomic Sample Plates'!N$2, ROW()-1*Sheet3!$B7,COLUMN()-2*Sheet3!O$1)  &amp; " (1:" &amp; 'Paste Sample Names Here'!$C$3 &amp; ")"))</f>
        <v>L0P29 (1:1000)</v>
      </c>
      <c r="O7" s="86" t="str">
        <f ca="1" xml:space="preserve"> IF(OFFSET('Metagenomic Sample Plates'!N$23, ROW(N8)-1*Sheet3!$B7,COLUMN(N8)-2*Sheet3!O$1)="", "", IF('Paste Sample Names Here'!$K$3="", "DILUTION?", OFFSET('Metagenomic Sample Plates'!N$23, ROW(N8)-1*Sheet3!$B7,COLUMN(N8)-2*Sheet3!O$1)  &amp;" (1:" &amp;'Paste Sample Names Here'!$K$3 &amp; ")"))</f>
        <v/>
      </c>
      <c r="P7" s="85" t="str">
        <f ca="1" xml:space="preserve"> IF(OFFSET('Metagenomic Sample Plates'!P$2, ROW()-1*Sheet3!$B7,COLUMN()-2*Sheet3!Q$1)="", "", IF('Paste Sample Names Here'!$C$3="", "DILUTION?", OFFSET('Metagenomic Sample Plates'!P$2, ROW()-1*Sheet3!$B7,COLUMN()-2*Sheet3!Q$1)  &amp; " (1:" &amp; 'Paste Sample Names Here'!$C$3 &amp; ")"))</f>
        <v>BarLP7C (1:1000)</v>
      </c>
      <c r="Q7" s="86" t="str">
        <f ca="1" xml:space="preserve"> IF(OFFSET('Metagenomic Sample Plates'!P$23, ROW(P8)-1*Sheet3!$B7,COLUMN(P8)-2*Sheet3!Q$1)="", "", IF('Paste Sample Names Here'!$K$3="", "DILUTION?", OFFSET('Metagenomic Sample Plates'!P$23, ROW(P8)-1*Sheet3!$B7,COLUMN(P8)-2*Sheet3!Q$1)  &amp;" (1:" &amp;'Paste Sample Names Here'!$K$3 &amp; ")"))</f>
        <v/>
      </c>
      <c r="R7" s="85" t="str">
        <f ca="1" xml:space="preserve"> IF(OFFSET('Metagenomic Sample Plates'!R$2, ROW()-1*Sheet3!$B7,COLUMN()-2*Sheet3!S$1)="", "", IF('Paste Sample Names Here'!$C$3="", "DILUTION?", OFFSET('Metagenomic Sample Plates'!R$2, ROW()-1*Sheet3!$B7,COLUMN()-2*Sheet3!S$1)  &amp; " (1:" &amp; 'Paste Sample Names Here'!$C$3 &amp; ")"))</f>
        <v>BarLP15C (1:1000)</v>
      </c>
      <c r="S7" s="86" t="str">
        <f ca="1" xml:space="preserve"> IF(OFFSET('Metagenomic Sample Plates'!R$23, ROW(R8)-1*Sheet3!$B7,COLUMN(R8)-2*Sheet3!S$1)="", "", IF('Paste Sample Names Here'!$K$3="", "DILUTION?", OFFSET('Metagenomic Sample Plates'!R$23, ROW(R8)-1*Sheet3!$B7,COLUMN(R8)-2*Sheet3!S$1)  &amp;" (1:" &amp;'Paste Sample Names Here'!$K$3 &amp; ")"))</f>
        <v/>
      </c>
      <c r="T7" s="85" t="str">
        <f ca="1" xml:space="preserve"> IF(OFFSET('Metagenomic Sample Plates'!T$2, ROW()-1*Sheet3!$B7,COLUMN()-2*Sheet3!U$1)="", "", IF('Paste Sample Names Here'!$C$3="", "DILUTION?", OFFSET('Metagenomic Sample Plates'!T$2, ROW()-1*Sheet3!$B7,COLUMN()-2*Sheet3!U$1)  &amp; " (1:" &amp; 'Paste Sample Names Here'!$C$3 &amp; ")"))</f>
        <v>BarLP9H (1:1000)</v>
      </c>
      <c r="U7" s="86" t="str">
        <f ca="1" xml:space="preserve"> IF(OFFSET('Metagenomic Sample Plates'!T$23, ROW(T8)-1*Sheet3!$B7,COLUMN(T8)-2*Sheet3!U$1)="", "", IF('Paste Sample Names Here'!$K$3="", "DILUTION?", OFFSET('Metagenomic Sample Plates'!T$23, ROW(T8)-1*Sheet3!$B7,COLUMN(T8)-2*Sheet3!U$1)  &amp;" (1:" &amp;'Paste Sample Names Here'!$K$3 &amp; ")"))</f>
        <v/>
      </c>
      <c r="V7" s="85" t="str">
        <f ca="1" xml:space="preserve"> IF(OFFSET('Metagenomic Sample Plates'!V$2, ROW()-1*Sheet3!$B7,COLUMN()-2*Sheet3!W$1)="", "", IF('Paste Sample Names Here'!$C$3="", "DILUTION?", OFFSET('Metagenomic Sample Plates'!V$2, ROW()-1*Sheet3!$B7,COLUMN()-2*Sheet3!W$1)  &amp; " (1:" &amp; 'Paste Sample Names Here'!$C$3 &amp; ")"))</f>
        <v>BarLP17H (1:1000)</v>
      </c>
      <c r="W7" s="86" t="str">
        <f ca="1" xml:space="preserve"> IF(OFFSET('Metagenomic Sample Plates'!V$23, ROW(V8)-1*Sheet3!$B7,COLUMN(V8)-2*Sheet3!W$1)="", "", IF('Paste Sample Names Here'!$K$3="", "DILUTION?", OFFSET('Metagenomic Sample Plates'!V$23, ROW(V8)-1*Sheet3!$B7,COLUMN(V8)-2*Sheet3!W$1)  &amp;" (1:" &amp;'Paste Sample Names Here'!$K$3 &amp; ")"))</f>
        <v/>
      </c>
      <c r="X7" s="85" t="str">
        <f ca="1" xml:space="preserve"> IF(OFFSET('Metagenomic Sample Plates'!X$2, ROW()-1*Sheet3!$B7,COLUMN()-2*Sheet3!Y$1)="", "", IF('Paste Sample Names Here'!$C$3="", "DILUTION?", OFFSET('Metagenomic Sample Plates'!X$2, ROW()-1*Sheet3!$B7,COLUMN()-2*Sheet3!Y$1)  &amp; " (1:" &amp; 'Paste Sample Names Here'!$C$3 &amp; ")"))</f>
        <v>BarL (1:1000)</v>
      </c>
      <c r="Y7" s="86" t="str">
        <f ca="1">IF(OFFSET('Metagenomic Sample Plates'!X$23, ROW(X8)-1*Sheet3!$B7,COLUMN(X8)-2*Sheet3!Y$1)="", "",OFFSET('Metagenomic Sample Plates'!X$23, ROW(X8)-1*Sheet3!$B7,COLUMN(X8)-2*Sheet3!Y$1))</f>
        <v/>
      </c>
    </row>
    <row r="8" spans="1:25" s="28" customFormat="1" ht="40" customHeight="1" x14ac:dyDescent="0.2">
      <c r="A8" s="25" t="s">
        <v>5</v>
      </c>
      <c r="B8" s="87" t="str">
        <f ca="1" xml:space="preserve"> IF(OFFSET('Metagenomic Sample Plates'!B$12, ROW(B8)-1*Sheet3!$B7,COLUMN(B8)-2*Sheet3!C$1)="", "", IF('Paste Sample Names Here'!$G$3="", "DILUTION?", OFFSET('Metagenomic Sample Plates'!B$12, ROW(B8)-1*Sheet3!$B7,COLUMN(B8)-2*Sheet3!C$1)  &amp;" (1:" &amp; 'Paste Sample Names Here'!$G$3 &amp; ")"))</f>
        <v/>
      </c>
      <c r="C8" s="104" t="str">
        <f ca="1" xml:space="preserve"> IF(OFFSET('Metagenomic Sample Plates'!B$34, ROW(B8)-1*Sheet3!$B7,COLUMN(B8)-2*Sheet3!C$1)="", "", IF('Paste Sample Names Here'!$O$3="", "DILUTION?",OFFSET('Metagenomic Sample Plates'!B$34, ROW(B8)-1*Sheet3!$B7,COLUMN(B8)-2*Sheet3!C$1)  &amp;" (1:" &amp; 'Paste Sample Names Here'!$O$3 &amp; ")"))</f>
        <v/>
      </c>
      <c r="D8" s="87" t="str">
        <f ca="1" xml:space="preserve"> IF(OFFSET('Metagenomic Sample Plates'!D$12, ROW(D8)-1*Sheet3!$B7,COLUMN(D8)-2*Sheet3!E$1)="", "", IF('Paste Sample Names Here'!$G$3="", "DILUTION?", OFFSET('Metagenomic Sample Plates'!D$12, ROW(D8)-1*Sheet3!$B7,COLUMN(D8)-2*Sheet3!E$1)  &amp;" (1:" &amp; 'Paste Sample Names Here'!$G$3 &amp; ")"))</f>
        <v/>
      </c>
      <c r="E8" s="104" t="str">
        <f ca="1" xml:space="preserve"> IF(OFFSET('Metagenomic Sample Plates'!D$34, ROW(D8)-1*Sheet3!$B7,COLUMN(D8)-2*Sheet3!E$1)="", "", IF('Paste Sample Names Here'!$O$3="", "DILUTION?",OFFSET('Metagenomic Sample Plates'!D$34, ROW(D8)-1*Sheet3!$B7,COLUMN(D8)-2*Sheet3!E$1)  &amp;" (1:" &amp; 'Paste Sample Names Here'!$O$3 &amp; ")"))</f>
        <v/>
      </c>
      <c r="F8" s="87" t="str">
        <f ca="1" xml:space="preserve"> IF(OFFSET('Metagenomic Sample Plates'!F$12, ROW(F8)-1*Sheet3!$B7,COLUMN(F8)-2*Sheet3!G$1)="", "", IF('Paste Sample Names Here'!$G$3="", "DILUTION?", OFFSET('Metagenomic Sample Plates'!F$12, ROW(F8)-1*Sheet3!$B7,COLUMN(F8)-2*Sheet3!G$1)  &amp;" (1:" &amp; 'Paste Sample Names Here'!$G$3 &amp; ")"))</f>
        <v/>
      </c>
      <c r="G8" s="104" t="str">
        <f ca="1" xml:space="preserve"> IF(OFFSET('Metagenomic Sample Plates'!F$34, ROW(F8)-1*Sheet3!$B7,COLUMN(F8)-2*Sheet3!G$1)="", "", IF('Paste Sample Names Here'!$O$3="", "DILUTION?",OFFSET('Metagenomic Sample Plates'!F$34, ROW(F8)-1*Sheet3!$B7,COLUMN(F8)-2*Sheet3!G$1)  &amp;" (1:" &amp; 'Paste Sample Names Here'!$O$3 &amp; ")"))</f>
        <v/>
      </c>
      <c r="H8" s="87" t="str">
        <f ca="1" xml:space="preserve"> IF(OFFSET('Metagenomic Sample Plates'!H$12, ROW(H8)-1*Sheet3!$B7,COLUMN(H8)-2*Sheet3!I$1)="", "", IF('Paste Sample Names Here'!$G$3="", "DILUTION?", OFFSET('Metagenomic Sample Plates'!H$12, ROW(H8)-1*Sheet3!$B7,COLUMN(H8)-2*Sheet3!I$1)  &amp;" (1:" &amp; 'Paste Sample Names Here'!$G$3 &amp; ")"))</f>
        <v/>
      </c>
      <c r="I8" s="104" t="str">
        <f ca="1" xml:space="preserve"> IF(OFFSET('Metagenomic Sample Plates'!H$34, ROW(H8)-1*Sheet3!$B7,COLUMN(H8)-2*Sheet3!I$1)="", "", IF('Paste Sample Names Here'!$O$3="", "DILUTION?",OFFSET('Metagenomic Sample Plates'!H$34, ROW(H8)-1*Sheet3!$B7,COLUMN(H8)-2*Sheet3!I$1)  &amp;" (1:" &amp; 'Paste Sample Names Here'!$O$3 &amp; ")"))</f>
        <v/>
      </c>
      <c r="J8" s="87" t="str">
        <f ca="1" xml:space="preserve"> IF(OFFSET('Metagenomic Sample Plates'!J$12, ROW(J8)-1*Sheet3!$B7,COLUMN(J8)-2*Sheet3!K$1)="", "", IF('Paste Sample Names Here'!$G$3="", "DILUTION?", OFFSET('Metagenomic Sample Plates'!J$12, ROW(J8)-1*Sheet3!$B7,COLUMN(J8)-2*Sheet3!K$1)  &amp;" (1:" &amp; 'Paste Sample Names Here'!$G$3 &amp; ")"))</f>
        <v/>
      </c>
      <c r="K8" s="104" t="str">
        <f ca="1" xml:space="preserve"> IF(OFFSET('Metagenomic Sample Plates'!J$34, ROW(J8)-1*Sheet3!$B7,COLUMN(J8)-2*Sheet3!K$1)="", "", IF('Paste Sample Names Here'!$O$3="", "DILUTION?",OFFSET('Metagenomic Sample Plates'!J$34, ROW(J8)-1*Sheet3!$B7,COLUMN(J8)-2*Sheet3!K$1)  &amp;" (1:" &amp; 'Paste Sample Names Here'!$O$3 &amp; ")"))</f>
        <v/>
      </c>
      <c r="L8" s="87" t="str">
        <f ca="1" xml:space="preserve"> IF(OFFSET('Metagenomic Sample Plates'!L$12, ROW(L8)-1*Sheet3!$B7,COLUMN(L8)-2*Sheet3!M$1)="", "", IF('Paste Sample Names Here'!$G$3="", "DILUTION?", OFFSET('Metagenomic Sample Plates'!L$12, ROW(L8)-1*Sheet3!$B7,COLUMN(L8)-2*Sheet3!M$1)  &amp;" (1:" &amp; 'Paste Sample Names Here'!$G$3 &amp; ")"))</f>
        <v/>
      </c>
      <c r="M8" s="104" t="str">
        <f ca="1" xml:space="preserve"> IF(OFFSET('Metagenomic Sample Plates'!L$34, ROW(L8)-1*Sheet3!$B7,COLUMN(L8)-2*Sheet3!M$1)="", "", IF('Paste Sample Names Here'!$O$3="", "DILUTION?",OFFSET('Metagenomic Sample Plates'!L$34, ROW(L8)-1*Sheet3!$B7,COLUMN(L8)-2*Sheet3!M$1)  &amp;" (1:" &amp; 'Paste Sample Names Here'!$O$3 &amp; ")"))</f>
        <v/>
      </c>
      <c r="N8" s="87" t="str">
        <f ca="1" xml:space="preserve"> IF(OFFSET('Metagenomic Sample Plates'!N$12, ROW(N8)-1*Sheet3!$B7,COLUMN(N8)-2*Sheet3!O$1)="", "", IF('Paste Sample Names Here'!$G$3="", "DILUTION?", OFFSET('Metagenomic Sample Plates'!N$12, ROW(N8)-1*Sheet3!$B7,COLUMN(N8)-2*Sheet3!O$1)  &amp;" (1:" &amp; 'Paste Sample Names Here'!$G$3 &amp; ")"))</f>
        <v/>
      </c>
      <c r="O8" s="104" t="str">
        <f ca="1" xml:space="preserve"> IF(OFFSET('Metagenomic Sample Plates'!N$34, ROW(N8)-1*Sheet3!$B7,COLUMN(N8)-2*Sheet3!O$1)="", "", IF('Paste Sample Names Here'!$O$3="", "DILUTION?",OFFSET('Metagenomic Sample Plates'!N$34, ROW(N8)-1*Sheet3!$B7,COLUMN(N8)-2*Sheet3!O$1)  &amp;" (1:" &amp; 'Paste Sample Names Here'!$O$3 &amp; ")"))</f>
        <v/>
      </c>
      <c r="P8" s="87" t="str">
        <f ca="1" xml:space="preserve"> IF(OFFSET('Metagenomic Sample Plates'!P$12, ROW(P8)-1*Sheet3!$B7,COLUMN(P8)-2*Sheet3!Q$1)="", "", IF('Paste Sample Names Here'!$G$3="", "DILUTION?", OFFSET('Metagenomic Sample Plates'!P$12, ROW(P8)-1*Sheet3!$B7,COLUMN(P8)-2*Sheet3!Q$1)  &amp;" (1:" &amp; 'Paste Sample Names Here'!$G$3 &amp; ")"))</f>
        <v/>
      </c>
      <c r="Q8" s="104" t="str">
        <f ca="1" xml:space="preserve"> IF(OFFSET('Metagenomic Sample Plates'!P$34, ROW(P8)-1*Sheet3!$B7,COLUMN(P8)-2*Sheet3!Q$1)="", "", IF('Paste Sample Names Here'!$O$3="", "DILUTION?",OFFSET('Metagenomic Sample Plates'!P$34, ROW(P8)-1*Sheet3!$B7,COLUMN(P8)-2*Sheet3!Q$1)  &amp;" (1:" &amp; 'Paste Sample Names Here'!$O$3 &amp; ")"))</f>
        <v/>
      </c>
      <c r="R8" s="87" t="str">
        <f ca="1" xml:space="preserve"> IF(OFFSET('Metagenomic Sample Plates'!R$12, ROW(R8)-1*Sheet3!$B7,COLUMN(R8)-2*Sheet3!S$1)="", "", IF('Paste Sample Names Here'!$G$3="", "DILUTION?", OFFSET('Metagenomic Sample Plates'!R$12, ROW(R8)-1*Sheet3!$B7,COLUMN(R8)-2*Sheet3!S$1)  &amp;" (1:" &amp; 'Paste Sample Names Here'!$G$3 &amp; ")"))</f>
        <v/>
      </c>
      <c r="S8" s="104" t="str">
        <f ca="1" xml:space="preserve"> IF(OFFSET('Metagenomic Sample Plates'!R$34, ROW(R8)-1*Sheet3!$B7,COLUMN(R8)-2*Sheet3!S$1)="", "", IF('Paste Sample Names Here'!$O$3="", "DILUTION?",OFFSET('Metagenomic Sample Plates'!R$34, ROW(R8)-1*Sheet3!$B7,COLUMN(R8)-2*Sheet3!S$1)  &amp;" (1:" &amp; 'Paste Sample Names Here'!$O$3 &amp; ")"))</f>
        <v/>
      </c>
      <c r="T8" s="87" t="str">
        <f ca="1" xml:space="preserve"> IF(OFFSET('Metagenomic Sample Plates'!T$12, ROW(T8)-1*Sheet3!$B7,COLUMN(T8)-2*Sheet3!U$1)="", "", IF('Paste Sample Names Here'!$G$3="", "DILUTION?", OFFSET('Metagenomic Sample Plates'!T$12, ROW(T8)-1*Sheet3!$B7,COLUMN(T8)-2*Sheet3!U$1)  &amp;" (1:" &amp; 'Paste Sample Names Here'!$G$3 &amp; ")"))</f>
        <v/>
      </c>
      <c r="U8" s="104" t="str">
        <f ca="1" xml:space="preserve"> IF(OFFSET('Metagenomic Sample Plates'!T$34, ROW(T8)-1*Sheet3!$B7,COLUMN(T8)-2*Sheet3!U$1)="", "", IF('Paste Sample Names Here'!$O$3="", "DILUTION?",OFFSET('Metagenomic Sample Plates'!T$34, ROW(T8)-1*Sheet3!$B7,COLUMN(T8)-2*Sheet3!U$1)  &amp;" (1:" &amp; 'Paste Sample Names Here'!$O$3 &amp; ")"))</f>
        <v/>
      </c>
      <c r="V8" s="87" t="str">
        <f ca="1" xml:space="preserve"> IF(OFFSET('Metagenomic Sample Plates'!V$12, ROW(V8)-1*Sheet3!$B7,COLUMN(V8)-2*Sheet3!W$1)="", "", IF('Paste Sample Names Here'!$G$3="", "DILUTION?", OFFSET('Metagenomic Sample Plates'!V$12, ROW(V8)-1*Sheet3!$B7,COLUMN(V8)-2*Sheet3!W$1)  &amp;" (1:" &amp; 'Paste Sample Names Here'!$G$3 &amp; ")"))</f>
        <v/>
      </c>
      <c r="W8" s="104" t="str">
        <f ca="1" xml:space="preserve">  IF(OFFSET('Metagenomic Sample Plates'!V$34, ROW(V8)-1*Sheet3!$B7,COLUMN(V8)-2*Sheet3!W$1)="NTC","NTC", IF(OFFSET('Metagenomic Sample Plates'!V$34, ROW(V8)-1*Sheet3!$B7,COLUMN(V8)-2*Sheet3!W$1)="", "", IF('Paste Sample Names Here'!$O$3="", "DILUTION?",OFFSET('Metagenomic Sample Plates'!V$34, ROW(V8)-1*Sheet3!$B7,COLUMN(V8)-2*Sheet3!W$1)  &amp;" (1:" &amp; 'Paste Sample Names Here'!$O$3 &amp; ")")))</f>
        <v/>
      </c>
      <c r="X8" s="87" t="str">
        <f ca="1" xml:space="preserve"> IF(OFFSET('Metagenomic Sample Plates'!X$12, ROW(X8)-1*Sheet3!$B7,COLUMN(X8)-2*Sheet3!Y$1)="", "", IF('Paste Sample Names Here'!$G$3="", "DILUTION?", OFFSET('Metagenomic Sample Plates'!X$12, ROW(X8)-1*Sheet3!$B7,COLUMN(X8)-2*Sheet3!Y$1)  &amp;" (1:" &amp; 'Paste Sample Names Here'!$G$3 &amp; ")"))</f>
        <v/>
      </c>
      <c r="Y8" s="104" t="str">
        <f ca="1">IF(OFFSET('Metagenomic Sample Plates'!X$34, ROW(X8)-1*Sheet3!$B7,COLUMN(X8)-2*Sheet3!Y$1)="", "",OFFSET('Metagenomic Sample Plates'!X$34, ROW(X8)-1*Sheet3!$B7,COLUMN(X8)-2*Sheet3!Y$1))</f>
        <v>Standard 3</v>
      </c>
    </row>
    <row r="9" spans="1:25" s="28" customFormat="1" ht="40" customHeight="1" x14ac:dyDescent="0.2">
      <c r="A9" s="25" t="s">
        <v>6</v>
      </c>
      <c r="B9" s="85" t="str">
        <f ca="1" xml:space="preserve"> IF(OFFSET('Metagenomic Sample Plates'!B$2, ROW()-1*Sheet3!$B9,COLUMN()-2*Sheet3!C$1)="", "", IF('Paste Sample Names Here'!$C$3="", "DILUTION?", OFFSET('Metagenomic Sample Plates'!B$2, ROW()-1*Sheet3!$B9,COLUMN()-2*Sheet3!C$1)  &amp; " (1:" &amp; 'Paste Sample Names Here'!$C$3 &amp; ")"))</f>
        <v>2AP8 (1:1000)</v>
      </c>
      <c r="C9" s="86" t="str">
        <f ca="1" xml:space="preserve"> IF(OFFSET('Metagenomic Sample Plates'!B$23, ROW(B10)-1*Sheet3!$B9,COLUMN(B10)-2*Sheet3!C$1)="", "", IF('Paste Sample Names Here'!$K$3="", "DILUTION?", OFFSET('Metagenomic Sample Plates'!B$23, ROW(B10)-1*Sheet3!$B9,COLUMN(B10)-2*Sheet3!C$1)  &amp;" (1:" &amp;'Paste Sample Names Here'!$K$3 &amp; ")"))</f>
        <v/>
      </c>
      <c r="D9" s="85" t="str">
        <f ca="1" xml:space="preserve"> IF(OFFSET('Metagenomic Sample Plates'!D$2, ROW()-1*Sheet3!$B9,COLUMN()-2*Sheet3!E$1)="", "", IF('Paste Sample Names Here'!$C$3="", "DILUTION?", OFFSET('Metagenomic Sample Plates'!D$2, ROW()-1*Sheet3!$B9,COLUMN()-2*Sheet3!E$1)  &amp; " (1:" &amp; 'Paste Sample Names Here'!$C$3 &amp; ")"))</f>
        <v>2AP16 (1:1000)</v>
      </c>
      <c r="E9" s="86" t="str">
        <f ca="1" xml:space="preserve"> IF(OFFSET('Metagenomic Sample Plates'!D$23, ROW(D10)-1*Sheet3!$B9,COLUMN(D10)-2*Sheet3!E$1)="", "", IF('Paste Sample Names Here'!$K$3="", "DILUTION?", OFFSET('Metagenomic Sample Plates'!D$23, ROW(D10)-1*Sheet3!$B9,COLUMN(D10)-2*Sheet3!E$1)  &amp;" (1:" &amp;'Paste Sample Names Here'!$K$3 &amp; ")"))</f>
        <v/>
      </c>
      <c r="F9" s="85" t="str">
        <f ca="1" xml:space="preserve"> IF(OFFSET('Metagenomic Sample Plates'!F$2, ROW()-1*Sheet3!$B9,COLUMN()-2*Sheet3!G$1)="", "", IF('Paste Sample Names Here'!$C$3="", "DILUTION?", OFFSET('Metagenomic Sample Plates'!F$2, ROW()-1*Sheet3!$B9,COLUMN()-2*Sheet3!G$1)  &amp; " (1:" &amp; 'Paste Sample Names Here'!$C$3 &amp; ")"))</f>
        <v>2AP24 (1:1000)</v>
      </c>
      <c r="G9" s="86" t="str">
        <f ca="1" xml:space="preserve"> IF(OFFSET('Metagenomic Sample Plates'!F$23, ROW(F10)-1*Sheet3!$B9,COLUMN(F10)-2*Sheet3!G$1)="", "", IF('Paste Sample Names Here'!$K$3="", "DILUTION?", OFFSET('Metagenomic Sample Plates'!F$23, ROW(F10)-1*Sheet3!$B9,COLUMN(F10)-2*Sheet3!G$1)  &amp;" (1:" &amp;'Paste Sample Names Here'!$K$3 &amp; ")"))</f>
        <v/>
      </c>
      <c r="H9" s="85" t="str">
        <f ca="1" xml:space="preserve"> IF(OFFSET('Metagenomic Sample Plates'!H$2, ROW()-1*Sheet3!$B9,COLUMN()-2*Sheet3!I$1)="", "", IF('Paste Sample Names Here'!$C$3="", "DILUTION?", OFFSET('Metagenomic Sample Plates'!H$2, ROW()-1*Sheet3!$B9,COLUMN()-2*Sheet3!I$1)  &amp; " (1:" &amp; 'Paste Sample Names Here'!$C$3 &amp; ")"))</f>
        <v>L0P6 (1:1000)</v>
      </c>
      <c r="I9" s="86" t="str">
        <f ca="1" xml:space="preserve"> IF(OFFSET('Metagenomic Sample Plates'!H$23, ROW(H10)-1*Sheet3!$B9,COLUMN(H10)-2*Sheet3!I$1)="", "", IF('Paste Sample Names Here'!$K$3="", "DILUTION?", OFFSET('Metagenomic Sample Plates'!H$23, ROW(H10)-1*Sheet3!$B9,COLUMN(H10)-2*Sheet3!I$1)  &amp;" (1:" &amp;'Paste Sample Names Here'!$K$3 &amp; ")"))</f>
        <v/>
      </c>
      <c r="J9" s="85" t="str">
        <f ca="1" xml:space="preserve"> IF(OFFSET('Metagenomic Sample Plates'!J$2, ROW()-1*Sheet3!$B9,COLUMN()-2*Sheet3!K$1)="", "", IF('Paste Sample Names Here'!$C$3="", "DILUTION?", OFFSET('Metagenomic Sample Plates'!J$2, ROW()-1*Sheet3!$B9,COLUMN()-2*Sheet3!K$1)  &amp; " (1:" &amp; 'Paste Sample Names Here'!$C$3 &amp; ")"))</f>
        <v>L0P14 (1:1000)</v>
      </c>
      <c r="K9" s="86" t="str">
        <f ca="1" xml:space="preserve"> IF(OFFSET('Metagenomic Sample Plates'!J$23, ROW(J10)-1*Sheet3!$B9,COLUMN(J10)-2*Sheet3!K$1)="", "", IF('Paste Sample Names Here'!$K$3="", "DILUTION?", OFFSET('Metagenomic Sample Plates'!J$23, ROW(J10)-1*Sheet3!$B9,COLUMN(J10)-2*Sheet3!K$1)  &amp;" (1:" &amp;'Paste Sample Names Here'!$K$3 &amp; ")"))</f>
        <v/>
      </c>
      <c r="L9" s="85" t="str">
        <f ca="1" xml:space="preserve"> IF(OFFSET('Metagenomic Sample Plates'!L$2, ROW()-1*Sheet3!$B9,COLUMN()-2*Sheet3!M$1)="", "", IF('Paste Sample Names Here'!$C$3="", "DILUTION?", OFFSET('Metagenomic Sample Plates'!L$2, ROW()-1*Sheet3!$B9,COLUMN()-2*Sheet3!M$1)  &amp; " (1:" &amp; 'Paste Sample Names Here'!$C$3 &amp; ")"))</f>
        <v>L0P22 (1:1000)</v>
      </c>
      <c r="M9" s="86" t="str">
        <f ca="1" xml:space="preserve"> IF(OFFSET('Metagenomic Sample Plates'!L$23, ROW(L10)-1*Sheet3!$B9,COLUMN(L10)-2*Sheet3!M$1)="", "", IF('Paste Sample Names Here'!$K$3="", "DILUTION?", OFFSET('Metagenomic Sample Plates'!L$23, ROW(L10)-1*Sheet3!$B9,COLUMN(L10)-2*Sheet3!M$1)  &amp;" (1:" &amp;'Paste Sample Names Here'!$K$3 &amp; ")"))</f>
        <v/>
      </c>
      <c r="N9" s="85" t="str">
        <f ca="1" xml:space="preserve"> IF(OFFSET('Metagenomic Sample Plates'!N$2, ROW()-1*Sheet3!$B9,COLUMN()-2*Sheet3!O$1)="", "", IF('Paste Sample Names Here'!$C$3="", "DILUTION?", OFFSET('Metagenomic Sample Plates'!N$2, ROW()-1*Sheet3!$B9,COLUMN()-2*Sheet3!O$1)  &amp; " (1:" &amp; 'Paste Sample Names Here'!$C$3 &amp; ")"))</f>
        <v>L0P30 (1:1000)</v>
      </c>
      <c r="O9" s="86" t="str">
        <f ca="1" xml:space="preserve"> IF(OFFSET('Metagenomic Sample Plates'!N$23, ROW(N10)-1*Sheet3!$B9,COLUMN(N10)-2*Sheet3!O$1)="", "", IF('Paste Sample Names Here'!$K$3="", "DILUTION?", OFFSET('Metagenomic Sample Plates'!N$23, ROW(N10)-1*Sheet3!$B9,COLUMN(N10)-2*Sheet3!O$1)  &amp;" (1:" &amp;'Paste Sample Names Here'!$K$3 &amp; ")"))</f>
        <v/>
      </c>
      <c r="P9" s="85" t="str">
        <f ca="1" xml:space="preserve"> IF(OFFSET('Metagenomic Sample Plates'!P$2, ROW()-1*Sheet3!$B9,COLUMN()-2*Sheet3!Q$1)="", "", IF('Paste Sample Names Here'!$C$3="", "DILUTION?", OFFSET('Metagenomic Sample Plates'!P$2, ROW()-1*Sheet3!$B9,COLUMN()-2*Sheet3!Q$1)  &amp; " (1:" &amp; 'Paste Sample Names Here'!$C$3 &amp; ")"))</f>
        <v>BarLP8C (1:1000)</v>
      </c>
      <c r="Q9" s="86" t="str">
        <f ca="1" xml:space="preserve"> IF(OFFSET('Metagenomic Sample Plates'!P$23, ROW(P10)-1*Sheet3!$B9,COLUMN(P10)-2*Sheet3!Q$1)="", "", IF('Paste Sample Names Here'!$K$3="", "DILUTION?", OFFSET('Metagenomic Sample Plates'!P$23, ROW(P10)-1*Sheet3!$B9,COLUMN(P10)-2*Sheet3!Q$1)  &amp;" (1:" &amp;'Paste Sample Names Here'!$K$3 &amp; ")"))</f>
        <v/>
      </c>
      <c r="R9" s="85" t="str">
        <f ca="1" xml:space="preserve"> IF(OFFSET('Metagenomic Sample Plates'!R$2, ROW()-1*Sheet3!$B9,COLUMN()-2*Sheet3!S$1)="", "", IF('Paste Sample Names Here'!$C$3="", "DILUTION?", OFFSET('Metagenomic Sample Plates'!R$2, ROW()-1*Sheet3!$B9,COLUMN()-2*Sheet3!S$1)  &amp; " (1:" &amp; 'Paste Sample Names Here'!$C$3 &amp; ")"))</f>
        <v>BarLP16C (1:1000)</v>
      </c>
      <c r="S9" s="86" t="str">
        <f ca="1" xml:space="preserve"> IF(OFFSET('Metagenomic Sample Plates'!R$23, ROW(R10)-1*Sheet3!$B9,COLUMN(R10)-2*Sheet3!S$1)="", "", IF('Paste Sample Names Here'!$K$3="", "DILUTION?", OFFSET('Metagenomic Sample Plates'!R$23, ROW(R10)-1*Sheet3!$B9,COLUMN(R10)-2*Sheet3!S$1)  &amp;" (1:" &amp;'Paste Sample Names Here'!$K$3 &amp; ")"))</f>
        <v/>
      </c>
      <c r="T9" s="85" t="str">
        <f ca="1" xml:space="preserve"> IF(OFFSET('Metagenomic Sample Plates'!T$2, ROW()-1*Sheet3!$B9,COLUMN()-2*Sheet3!U$1)="", "", IF('Paste Sample Names Here'!$C$3="", "DILUTION?", OFFSET('Metagenomic Sample Plates'!T$2, ROW()-1*Sheet3!$B9,COLUMN()-2*Sheet3!U$1)  &amp; " (1:" &amp; 'Paste Sample Names Here'!$C$3 &amp; ")"))</f>
        <v>BarLP10H (1:1000)</v>
      </c>
      <c r="U9" s="86" t="str">
        <f ca="1" xml:space="preserve"> IF(OFFSET('Metagenomic Sample Plates'!T$23, ROW(T10)-1*Sheet3!$B9,COLUMN(T10)-2*Sheet3!U$1)="", "", IF('Paste Sample Names Here'!$K$3="", "DILUTION?", OFFSET('Metagenomic Sample Plates'!T$23, ROW(T10)-1*Sheet3!$B9,COLUMN(T10)-2*Sheet3!U$1)  &amp;" (1:" &amp;'Paste Sample Names Here'!$K$3 &amp; ")"))</f>
        <v/>
      </c>
      <c r="V9" s="85" t="str">
        <f ca="1" xml:space="preserve"> IF(OFFSET('Metagenomic Sample Plates'!V$2, ROW()-1*Sheet3!$B9,COLUMN()-2*Sheet3!W$1)="", "", IF('Paste Sample Names Here'!$C$3="", "DILUTION?", OFFSET('Metagenomic Sample Plates'!V$2, ROW()-1*Sheet3!$B9,COLUMN()-2*Sheet3!W$1)  &amp; " (1:" &amp; 'Paste Sample Names Here'!$C$3 &amp; ")"))</f>
        <v>BarLP18H (1:1000)</v>
      </c>
      <c r="W9" s="86" t="str">
        <f ca="1" xml:space="preserve"> IF(OFFSET('Metagenomic Sample Plates'!V$23, ROW(V10)-1*Sheet3!$B9,COLUMN(V10)-2*Sheet3!W$1)="", "", IF('Paste Sample Names Here'!$K$3="", "DILUTION?", OFFSET('Metagenomic Sample Plates'!V$23, ROW(V10)-1*Sheet3!$B9,COLUMN(V10)-2*Sheet3!W$1)  &amp;" (1:" &amp;'Paste Sample Names Here'!$K$3 &amp; ")"))</f>
        <v/>
      </c>
      <c r="X9" s="85" t="str">
        <f ca="1" xml:space="preserve"> IF(OFFSET('Metagenomic Sample Plates'!X$2, ROW()-1*Sheet3!$B9,COLUMN()-2*Sheet3!Y$1)="", "", IF('Paste Sample Names Here'!$C$3="", "DILUTION?", OFFSET('Metagenomic Sample Plates'!X$2, ROW()-1*Sheet3!$B9,COLUMN()-2*Sheet3!Y$1)  &amp; " (1:" &amp; 'Paste Sample Names Here'!$C$3 &amp; ")"))</f>
        <v/>
      </c>
      <c r="Y9" s="86" t="str">
        <f ca="1">IF(OFFSET('Metagenomic Sample Plates'!X$23, ROW(X10)-1*Sheet3!$B9,COLUMN(X10)-2*Sheet3!Y$1)="", "",OFFSET('Metagenomic Sample Plates'!X$23, ROW(X10)-1*Sheet3!$B9,COLUMN(X10)-2*Sheet3!Y$1))</f>
        <v/>
      </c>
    </row>
    <row r="10" spans="1:25" s="28" customFormat="1" ht="40" customHeight="1" x14ac:dyDescent="0.2">
      <c r="A10" s="25" t="s">
        <v>7</v>
      </c>
      <c r="B10" s="87" t="str">
        <f ca="1" xml:space="preserve"> IF(OFFSET('Metagenomic Sample Plates'!B$12, ROW(B10)-1*Sheet3!$B9,COLUMN(B10)-2*Sheet3!C$1)="", "", IF('Paste Sample Names Here'!$G$3="", "DILUTION?", OFFSET('Metagenomic Sample Plates'!B$12, ROW(B10)-1*Sheet3!$B9,COLUMN(B10)-2*Sheet3!C$1)  &amp;" (1:" &amp; 'Paste Sample Names Here'!$G$3 &amp; ")"))</f>
        <v/>
      </c>
      <c r="C10" s="104" t="str">
        <f ca="1" xml:space="preserve"> IF(OFFSET('Metagenomic Sample Plates'!B$34, ROW(B10)-1*Sheet3!$B9,COLUMN(B10)-2*Sheet3!C$1)="", "", IF('Paste Sample Names Here'!$O$3="", "DILUTION?",OFFSET('Metagenomic Sample Plates'!B$34, ROW(B10)-1*Sheet3!$B9,COLUMN(B10)-2*Sheet3!C$1)  &amp;" (1:" &amp; 'Paste Sample Names Here'!$O$3 &amp; ")"))</f>
        <v/>
      </c>
      <c r="D10" s="87" t="str">
        <f ca="1" xml:space="preserve"> IF(OFFSET('Metagenomic Sample Plates'!D$12, ROW(D10)-1*Sheet3!$B9,COLUMN(D10)-2*Sheet3!E$1)="", "", IF('Paste Sample Names Here'!$G$3="", "DILUTION?", OFFSET('Metagenomic Sample Plates'!D$12, ROW(D10)-1*Sheet3!$B9,COLUMN(D10)-2*Sheet3!E$1)  &amp;" (1:" &amp; 'Paste Sample Names Here'!$G$3 &amp; ")"))</f>
        <v/>
      </c>
      <c r="E10" s="104" t="str">
        <f ca="1" xml:space="preserve"> IF(OFFSET('Metagenomic Sample Plates'!D$34, ROW(D10)-1*Sheet3!$B9,COLUMN(D10)-2*Sheet3!E$1)="", "", IF('Paste Sample Names Here'!$O$3="", "DILUTION?",OFFSET('Metagenomic Sample Plates'!D$34, ROW(D10)-1*Sheet3!$B9,COLUMN(D10)-2*Sheet3!E$1)  &amp;" (1:" &amp; 'Paste Sample Names Here'!$O$3 &amp; ")"))</f>
        <v/>
      </c>
      <c r="F10" s="87" t="str">
        <f ca="1" xml:space="preserve"> IF(OFFSET('Metagenomic Sample Plates'!F$12, ROW(F10)-1*Sheet3!$B9,COLUMN(F10)-2*Sheet3!G$1)="", "", IF('Paste Sample Names Here'!$G$3="", "DILUTION?", OFFSET('Metagenomic Sample Plates'!F$12, ROW(F10)-1*Sheet3!$B9,COLUMN(F10)-2*Sheet3!G$1)  &amp;" (1:" &amp; 'Paste Sample Names Here'!$G$3 &amp; ")"))</f>
        <v/>
      </c>
      <c r="G10" s="104" t="str">
        <f ca="1" xml:space="preserve"> IF(OFFSET('Metagenomic Sample Plates'!F$34, ROW(F10)-1*Sheet3!$B9,COLUMN(F10)-2*Sheet3!G$1)="", "", IF('Paste Sample Names Here'!$O$3="", "DILUTION?",OFFSET('Metagenomic Sample Plates'!F$34, ROW(F10)-1*Sheet3!$B9,COLUMN(F10)-2*Sheet3!G$1)  &amp;" (1:" &amp; 'Paste Sample Names Here'!$O$3 &amp; ")"))</f>
        <v/>
      </c>
      <c r="H10" s="87" t="str">
        <f ca="1" xml:space="preserve"> IF(OFFSET('Metagenomic Sample Plates'!H$12, ROW(H10)-1*Sheet3!$B9,COLUMN(H10)-2*Sheet3!I$1)="", "", IF('Paste Sample Names Here'!$G$3="", "DILUTION?", OFFSET('Metagenomic Sample Plates'!H$12, ROW(H10)-1*Sheet3!$B9,COLUMN(H10)-2*Sheet3!I$1)  &amp;" (1:" &amp; 'Paste Sample Names Here'!$G$3 &amp; ")"))</f>
        <v/>
      </c>
      <c r="I10" s="104" t="str">
        <f ca="1" xml:space="preserve"> IF(OFFSET('Metagenomic Sample Plates'!H$34, ROW(H10)-1*Sheet3!$B9,COLUMN(H10)-2*Sheet3!I$1)="", "", IF('Paste Sample Names Here'!$O$3="", "DILUTION?",OFFSET('Metagenomic Sample Plates'!H$34, ROW(H10)-1*Sheet3!$B9,COLUMN(H10)-2*Sheet3!I$1)  &amp;" (1:" &amp; 'Paste Sample Names Here'!$O$3 &amp; ")"))</f>
        <v/>
      </c>
      <c r="J10" s="87" t="str">
        <f ca="1" xml:space="preserve"> IF(OFFSET('Metagenomic Sample Plates'!J$12, ROW(J10)-1*Sheet3!$B9,COLUMN(J10)-2*Sheet3!K$1)="", "", IF('Paste Sample Names Here'!$G$3="", "DILUTION?", OFFSET('Metagenomic Sample Plates'!J$12, ROW(J10)-1*Sheet3!$B9,COLUMN(J10)-2*Sheet3!K$1)  &amp;" (1:" &amp; 'Paste Sample Names Here'!$G$3 &amp; ")"))</f>
        <v/>
      </c>
      <c r="K10" s="104" t="str">
        <f ca="1" xml:space="preserve"> IF(OFFSET('Metagenomic Sample Plates'!J$34, ROW(J10)-1*Sheet3!$B9,COLUMN(J10)-2*Sheet3!K$1)="", "", IF('Paste Sample Names Here'!$O$3="", "DILUTION?",OFFSET('Metagenomic Sample Plates'!J$34, ROW(J10)-1*Sheet3!$B9,COLUMN(J10)-2*Sheet3!K$1)  &amp;" (1:" &amp; 'Paste Sample Names Here'!$O$3 &amp; ")"))</f>
        <v/>
      </c>
      <c r="L10" s="87" t="str">
        <f ca="1" xml:space="preserve"> IF(OFFSET('Metagenomic Sample Plates'!L$12, ROW(L10)-1*Sheet3!$B9,COLUMN(L10)-2*Sheet3!M$1)="", "", IF('Paste Sample Names Here'!$G$3="", "DILUTION?", OFFSET('Metagenomic Sample Plates'!L$12, ROW(L10)-1*Sheet3!$B9,COLUMN(L10)-2*Sheet3!M$1)  &amp;" (1:" &amp; 'Paste Sample Names Here'!$G$3 &amp; ")"))</f>
        <v/>
      </c>
      <c r="M10" s="104" t="str">
        <f ca="1" xml:space="preserve"> IF(OFFSET('Metagenomic Sample Plates'!L$34, ROW(L10)-1*Sheet3!$B9,COLUMN(L10)-2*Sheet3!M$1)="", "", IF('Paste Sample Names Here'!$O$3="", "DILUTION?",OFFSET('Metagenomic Sample Plates'!L$34, ROW(L10)-1*Sheet3!$B9,COLUMN(L10)-2*Sheet3!M$1)  &amp;" (1:" &amp; 'Paste Sample Names Here'!$O$3 &amp; ")"))</f>
        <v/>
      </c>
      <c r="N10" s="87" t="str">
        <f ca="1" xml:space="preserve"> IF(OFFSET('Metagenomic Sample Plates'!N$12, ROW(N10)-1*Sheet3!$B9,COLUMN(N10)-2*Sheet3!O$1)="", "", IF('Paste Sample Names Here'!$G$3="", "DILUTION?", OFFSET('Metagenomic Sample Plates'!N$12, ROW(N10)-1*Sheet3!$B9,COLUMN(N10)-2*Sheet3!O$1)  &amp;" (1:" &amp; 'Paste Sample Names Here'!$G$3 &amp; ")"))</f>
        <v/>
      </c>
      <c r="O10" s="104" t="str">
        <f ca="1" xml:space="preserve"> IF(OFFSET('Metagenomic Sample Plates'!N$34, ROW(N10)-1*Sheet3!$B9,COLUMN(N10)-2*Sheet3!O$1)="", "", IF('Paste Sample Names Here'!$O$3="", "DILUTION?",OFFSET('Metagenomic Sample Plates'!N$34, ROW(N10)-1*Sheet3!$B9,COLUMN(N10)-2*Sheet3!O$1)  &amp;" (1:" &amp; 'Paste Sample Names Here'!$O$3 &amp; ")"))</f>
        <v/>
      </c>
      <c r="P10" s="87" t="str">
        <f ca="1" xml:space="preserve"> IF(OFFSET('Metagenomic Sample Plates'!P$12, ROW(P10)-1*Sheet3!$B9,COLUMN(P10)-2*Sheet3!Q$1)="", "", IF('Paste Sample Names Here'!$G$3="", "DILUTION?", OFFSET('Metagenomic Sample Plates'!P$12, ROW(P10)-1*Sheet3!$B9,COLUMN(P10)-2*Sheet3!Q$1)  &amp;" (1:" &amp; 'Paste Sample Names Here'!$G$3 &amp; ")"))</f>
        <v/>
      </c>
      <c r="Q10" s="104" t="str">
        <f ca="1" xml:space="preserve"> IF(OFFSET('Metagenomic Sample Plates'!P$34, ROW(P10)-1*Sheet3!$B9,COLUMN(P10)-2*Sheet3!Q$1)="", "", IF('Paste Sample Names Here'!$O$3="", "DILUTION?",OFFSET('Metagenomic Sample Plates'!P$34, ROW(P10)-1*Sheet3!$B9,COLUMN(P10)-2*Sheet3!Q$1)  &amp;" (1:" &amp; 'Paste Sample Names Here'!$O$3 &amp; ")"))</f>
        <v/>
      </c>
      <c r="R10" s="87" t="str">
        <f ca="1" xml:space="preserve"> IF(OFFSET('Metagenomic Sample Plates'!R$12, ROW(R10)-1*Sheet3!$B9,COLUMN(R10)-2*Sheet3!S$1)="", "", IF('Paste Sample Names Here'!$G$3="", "DILUTION?", OFFSET('Metagenomic Sample Plates'!R$12, ROW(R10)-1*Sheet3!$B9,COLUMN(R10)-2*Sheet3!S$1)  &amp;" (1:" &amp; 'Paste Sample Names Here'!$G$3 &amp; ")"))</f>
        <v/>
      </c>
      <c r="S10" s="104" t="str">
        <f ca="1" xml:space="preserve"> IF(OFFSET('Metagenomic Sample Plates'!R$34, ROW(R10)-1*Sheet3!$B9,COLUMN(R10)-2*Sheet3!S$1)="", "", IF('Paste Sample Names Here'!$O$3="", "DILUTION?",OFFSET('Metagenomic Sample Plates'!R$34, ROW(R10)-1*Sheet3!$B9,COLUMN(R10)-2*Sheet3!S$1)  &amp;" (1:" &amp; 'Paste Sample Names Here'!$O$3 &amp; ")"))</f>
        <v/>
      </c>
      <c r="T10" s="87" t="str">
        <f ca="1" xml:space="preserve"> IF(OFFSET('Metagenomic Sample Plates'!T$12, ROW(T10)-1*Sheet3!$B9,COLUMN(T10)-2*Sheet3!U$1)="", "", IF('Paste Sample Names Here'!$G$3="", "DILUTION?", OFFSET('Metagenomic Sample Plates'!T$12, ROW(T10)-1*Sheet3!$B9,COLUMN(T10)-2*Sheet3!U$1)  &amp;" (1:" &amp; 'Paste Sample Names Here'!$G$3 &amp; ")"))</f>
        <v/>
      </c>
      <c r="U10" s="104" t="str">
        <f ca="1" xml:space="preserve"> IF(OFFSET('Metagenomic Sample Plates'!T$34, ROW(T10)-1*Sheet3!$B9,COLUMN(T10)-2*Sheet3!U$1)="", "", IF('Paste Sample Names Here'!$O$3="", "DILUTION?",OFFSET('Metagenomic Sample Plates'!T$34, ROW(T10)-1*Sheet3!$B9,COLUMN(T10)-2*Sheet3!U$1)  &amp;" (1:" &amp; 'Paste Sample Names Here'!$O$3 &amp; ")"))</f>
        <v/>
      </c>
      <c r="V10" s="87" t="str">
        <f ca="1" xml:space="preserve"> IF(OFFSET('Metagenomic Sample Plates'!V$12, ROW(V10)-1*Sheet3!$B9,COLUMN(V10)-2*Sheet3!W$1)="", "", IF('Paste Sample Names Here'!$G$3="", "DILUTION?", OFFSET('Metagenomic Sample Plates'!V$12, ROW(V10)-1*Sheet3!$B9,COLUMN(V10)-2*Sheet3!W$1)  &amp;" (1:" &amp; 'Paste Sample Names Here'!$G$3 &amp; ")"))</f>
        <v/>
      </c>
      <c r="W10" s="104" t="str">
        <f ca="1" xml:space="preserve">  IF(OFFSET('Metagenomic Sample Plates'!V$34, ROW(V10)-1*Sheet3!$B9,COLUMN(V10)-2*Sheet3!W$1)="NTC","NTC", IF(OFFSET('Metagenomic Sample Plates'!V$34, ROW(V10)-1*Sheet3!$B9,COLUMN(V10)-2*Sheet3!W$1)="", "", IF('Paste Sample Names Here'!$O$3="", "DILUTION?",OFFSET('Metagenomic Sample Plates'!V$34, ROW(V10)-1*Sheet3!$B9,COLUMN(V10)-2*Sheet3!W$1)  &amp;" (1:" &amp; 'Paste Sample Names Here'!$O$3 &amp; ")")))</f>
        <v/>
      </c>
      <c r="X10" s="87" t="str">
        <f ca="1" xml:space="preserve"> IF(OFFSET('Metagenomic Sample Plates'!X$12, ROW(X10)-1*Sheet3!$B9,COLUMN(X10)-2*Sheet3!Y$1)="", "", IF('Paste Sample Names Here'!$G$3="", "DILUTION?", OFFSET('Metagenomic Sample Plates'!X$12, ROW(X10)-1*Sheet3!$B9,COLUMN(X10)-2*Sheet3!Y$1)  &amp;" (1:" &amp; 'Paste Sample Names Here'!$G$3 &amp; ")"))</f>
        <v/>
      </c>
      <c r="Y10" s="104" t="str">
        <f ca="1">IF(OFFSET('Metagenomic Sample Plates'!X$34, ROW(X10)-1*Sheet3!$B9,COLUMN(X10)-2*Sheet3!Y$1)="", "",OFFSET('Metagenomic Sample Plates'!X$34, ROW(X10)-1*Sheet3!$B9,COLUMN(X10)-2*Sheet3!Y$1))</f>
        <v>Standard 4</v>
      </c>
    </row>
    <row r="11" spans="1:25" s="28" customFormat="1" ht="40" customHeight="1" x14ac:dyDescent="0.2">
      <c r="A11" s="25" t="s">
        <v>8</v>
      </c>
      <c r="B11" s="85" t="str">
        <f ca="1" xml:space="preserve"> IF(OFFSET('Metagenomic Sample Plates'!B$2, ROW()-1*Sheet3!$B11,COLUMN()-2*Sheet3!C$1)="", "", IF('Paste Sample Names Here'!$C$3="", "DILUTION?", OFFSET('Metagenomic Sample Plates'!B$2, ROW()-1*Sheet3!$B11,COLUMN()-2*Sheet3!C$1)  &amp; " (1:" &amp; 'Paste Sample Names Here'!$C$3 &amp; ")"))</f>
        <v>2AP9 (1:1000)</v>
      </c>
      <c r="C11" s="86" t="str">
        <f ca="1" xml:space="preserve"> IF(OFFSET('Metagenomic Sample Plates'!B$23, ROW(B12)-1*Sheet3!$B11,COLUMN(B12)-2*Sheet3!C$1)="", "", IF('Paste Sample Names Here'!$K$3="", "DILUTION?", OFFSET('Metagenomic Sample Plates'!B$23, ROW(B12)-1*Sheet3!$B11,COLUMN(B12)-2*Sheet3!C$1)  &amp;" (1:" &amp;'Paste Sample Names Here'!$K$3 &amp; ")"))</f>
        <v/>
      </c>
      <c r="D11" s="85" t="str">
        <f ca="1" xml:space="preserve"> IF(OFFSET('Metagenomic Sample Plates'!D$2, ROW()-1*Sheet3!$B11,COLUMN()-2*Sheet3!E$1)="", "", IF('Paste Sample Names Here'!$C$3="", "DILUTION?", OFFSET('Metagenomic Sample Plates'!D$2, ROW()-1*Sheet3!$B11,COLUMN()-2*Sheet3!E$1)  &amp; " (1:" &amp; 'Paste Sample Names Here'!$C$3 &amp; ")"))</f>
        <v>2AP17 (1:1000)</v>
      </c>
      <c r="E11" s="86" t="str">
        <f ca="1" xml:space="preserve"> IF(OFFSET('Metagenomic Sample Plates'!D$23, ROW(D12)-1*Sheet3!$B11,COLUMN(D12)-2*Sheet3!E$1)="", "", IF('Paste Sample Names Here'!$K$3="", "DILUTION?", OFFSET('Metagenomic Sample Plates'!D$23, ROW(D12)-1*Sheet3!$B11,COLUMN(D12)-2*Sheet3!E$1)  &amp;" (1:" &amp;'Paste Sample Names Here'!$K$3 &amp; ")"))</f>
        <v/>
      </c>
      <c r="F11" s="85" t="str">
        <f ca="1" xml:space="preserve"> IF(OFFSET('Metagenomic Sample Plates'!F$2, ROW()-1*Sheet3!$B11,COLUMN()-2*Sheet3!G$1)="", "", IF('Paste Sample Names Here'!$C$3="", "DILUTION?", OFFSET('Metagenomic Sample Plates'!F$2, ROW()-1*Sheet3!$B11,COLUMN()-2*Sheet3!G$1)  &amp; " (1:" &amp; 'Paste Sample Names Here'!$C$3 &amp; ")"))</f>
        <v>2AP25 (1:1000)</v>
      </c>
      <c r="G11" s="86" t="str">
        <f ca="1" xml:space="preserve"> IF(OFFSET('Metagenomic Sample Plates'!F$23, ROW(F12)-1*Sheet3!$B11,COLUMN(F12)-2*Sheet3!G$1)="", "", IF('Paste Sample Names Here'!$K$3="", "DILUTION?", OFFSET('Metagenomic Sample Plates'!F$23, ROW(F12)-1*Sheet3!$B11,COLUMN(F12)-2*Sheet3!G$1)  &amp;" (1:" &amp;'Paste Sample Names Here'!$K$3 &amp; ")"))</f>
        <v/>
      </c>
      <c r="H11" s="85" t="str">
        <f ca="1" xml:space="preserve"> IF(OFFSET('Metagenomic Sample Plates'!H$2, ROW()-1*Sheet3!$B11,COLUMN()-2*Sheet3!I$1)="", "", IF('Paste Sample Names Here'!$C$3="", "DILUTION?", OFFSET('Metagenomic Sample Plates'!H$2, ROW()-1*Sheet3!$B11,COLUMN()-2*Sheet3!I$1)  &amp; " (1:" &amp; 'Paste Sample Names Here'!$C$3 &amp; ")"))</f>
        <v>L0P7 (1:1000)</v>
      </c>
      <c r="I11" s="86" t="str">
        <f ca="1" xml:space="preserve"> IF(OFFSET('Metagenomic Sample Plates'!H$23, ROW(H12)-1*Sheet3!$B11,COLUMN(H12)-2*Sheet3!I$1)="", "", IF('Paste Sample Names Here'!$K$3="", "DILUTION?", OFFSET('Metagenomic Sample Plates'!H$23, ROW(H12)-1*Sheet3!$B11,COLUMN(H12)-2*Sheet3!I$1)  &amp;" (1:" &amp;'Paste Sample Names Here'!$K$3 &amp; ")"))</f>
        <v/>
      </c>
      <c r="J11" s="85" t="str">
        <f ca="1" xml:space="preserve"> IF(OFFSET('Metagenomic Sample Plates'!J$2, ROW()-1*Sheet3!$B11,COLUMN()-2*Sheet3!K$1)="", "", IF('Paste Sample Names Here'!$C$3="", "DILUTION?", OFFSET('Metagenomic Sample Plates'!J$2, ROW()-1*Sheet3!$B11,COLUMN()-2*Sheet3!K$1)  &amp; " (1:" &amp; 'Paste Sample Names Here'!$C$3 &amp; ")"))</f>
        <v>L0P15 (1:1000)</v>
      </c>
      <c r="K11" s="86" t="str">
        <f ca="1" xml:space="preserve"> IF(OFFSET('Metagenomic Sample Plates'!J$23, ROW(J12)-1*Sheet3!$B11,COLUMN(J12)-2*Sheet3!K$1)="", "", IF('Paste Sample Names Here'!$K$3="", "DILUTION?", OFFSET('Metagenomic Sample Plates'!J$23, ROW(J12)-1*Sheet3!$B11,COLUMN(J12)-2*Sheet3!K$1)  &amp;" (1:" &amp;'Paste Sample Names Here'!$K$3 &amp; ")"))</f>
        <v/>
      </c>
      <c r="L11" s="85" t="str">
        <f ca="1" xml:space="preserve"> IF(OFFSET('Metagenomic Sample Plates'!L$2, ROW()-1*Sheet3!$B11,COLUMN()-2*Sheet3!M$1)="", "", IF('Paste Sample Names Here'!$C$3="", "DILUTION?", OFFSET('Metagenomic Sample Plates'!L$2, ROW()-1*Sheet3!$B11,COLUMN()-2*Sheet3!M$1)  &amp; " (1:" &amp; 'Paste Sample Names Here'!$C$3 &amp; ")"))</f>
        <v>L0P23 (1:1000)</v>
      </c>
      <c r="M11" s="86" t="str">
        <f ca="1" xml:space="preserve"> IF(OFFSET('Metagenomic Sample Plates'!L$23, ROW(L12)-1*Sheet3!$B11,COLUMN(L12)-2*Sheet3!M$1)="", "", IF('Paste Sample Names Here'!$K$3="", "DILUTION?", OFFSET('Metagenomic Sample Plates'!L$23, ROW(L12)-1*Sheet3!$B11,COLUMN(L12)-2*Sheet3!M$1)  &amp;" (1:" &amp;'Paste Sample Names Here'!$K$3 &amp; ")"))</f>
        <v/>
      </c>
      <c r="N11" s="85" t="str">
        <f ca="1" xml:space="preserve"> IF(OFFSET('Metagenomic Sample Plates'!N$2, ROW()-1*Sheet3!$B11,COLUMN()-2*Sheet3!O$1)="", "", IF('Paste Sample Names Here'!$C$3="", "DILUTION?", OFFSET('Metagenomic Sample Plates'!N$2, ROW()-1*Sheet3!$B11,COLUMN()-2*Sheet3!O$1)  &amp; " (1:" &amp; 'Paste Sample Names Here'!$C$3 &amp; ")"))</f>
        <v/>
      </c>
      <c r="O11" s="86" t="str">
        <f ca="1" xml:space="preserve"> IF(OFFSET('Metagenomic Sample Plates'!N$23, ROW(N12)-1*Sheet3!$B11,COLUMN(N12)-2*Sheet3!O$1)="", "", IF('Paste Sample Names Here'!$K$3="", "DILUTION?", OFFSET('Metagenomic Sample Plates'!N$23, ROW(N12)-1*Sheet3!$B11,COLUMN(N12)-2*Sheet3!O$1)  &amp;" (1:" &amp;'Paste Sample Names Here'!$K$3 &amp; ")"))</f>
        <v/>
      </c>
      <c r="P11" s="85" t="str">
        <f ca="1" xml:space="preserve"> IF(OFFSET('Metagenomic Sample Plates'!P$2, ROW()-1*Sheet3!$B11,COLUMN()-2*Sheet3!Q$1)="", "", IF('Paste Sample Names Here'!$C$3="", "DILUTION?", OFFSET('Metagenomic Sample Plates'!P$2, ROW()-1*Sheet3!$B11,COLUMN()-2*Sheet3!Q$1)  &amp; " (1:" &amp; 'Paste Sample Names Here'!$C$3 &amp; ")"))</f>
        <v>BarLP9C (1:1000)</v>
      </c>
      <c r="Q11" s="86" t="str">
        <f ca="1" xml:space="preserve"> IF(OFFSET('Metagenomic Sample Plates'!P$23, ROW(P12)-1*Sheet3!$B11,COLUMN(P12)-2*Sheet3!Q$1)="", "", IF('Paste Sample Names Here'!$K$3="", "DILUTION?", OFFSET('Metagenomic Sample Plates'!P$23, ROW(P12)-1*Sheet3!$B11,COLUMN(P12)-2*Sheet3!Q$1)  &amp;" (1:" &amp;'Paste Sample Names Here'!$K$3 &amp; ")"))</f>
        <v/>
      </c>
      <c r="R11" s="85" t="str">
        <f ca="1" xml:space="preserve"> IF(OFFSET('Metagenomic Sample Plates'!R$2, ROW()-1*Sheet3!$B11,COLUMN()-2*Sheet3!S$1)="", "", IF('Paste Sample Names Here'!$C$3="", "DILUTION?", OFFSET('Metagenomic Sample Plates'!R$2, ROW()-1*Sheet3!$B11,COLUMN()-2*Sheet3!S$1)  &amp; " (1:" &amp; 'Paste Sample Names Here'!$C$3 &amp; ")"))</f>
        <v>BarLP17C (1:1000)</v>
      </c>
      <c r="S11" s="86" t="str">
        <f ca="1" xml:space="preserve"> IF(OFFSET('Metagenomic Sample Plates'!R$23, ROW(R12)-1*Sheet3!$B11,COLUMN(R12)-2*Sheet3!S$1)="", "", IF('Paste Sample Names Here'!$K$3="", "DILUTION?", OFFSET('Metagenomic Sample Plates'!R$23, ROW(R12)-1*Sheet3!$B11,COLUMN(R12)-2*Sheet3!S$1)  &amp;" (1:" &amp;'Paste Sample Names Here'!$K$3 &amp; ")"))</f>
        <v/>
      </c>
      <c r="T11" s="85" t="str">
        <f ca="1" xml:space="preserve"> IF(OFFSET('Metagenomic Sample Plates'!T$2, ROW()-1*Sheet3!$B11,COLUMN()-2*Sheet3!U$1)="", "", IF('Paste Sample Names Here'!$C$3="", "DILUTION?", OFFSET('Metagenomic Sample Plates'!T$2, ROW()-1*Sheet3!$B11,COLUMN()-2*Sheet3!U$1)  &amp; " (1:" &amp; 'Paste Sample Names Here'!$C$3 &amp; ")"))</f>
        <v>BarLP11H (1:1000)</v>
      </c>
      <c r="U11" s="86" t="str">
        <f ca="1" xml:space="preserve"> IF(OFFSET('Metagenomic Sample Plates'!T$23, ROW(T12)-1*Sheet3!$B11,COLUMN(T12)-2*Sheet3!U$1)="", "", IF('Paste Sample Names Here'!$K$3="", "DILUTION?", OFFSET('Metagenomic Sample Plates'!T$23, ROW(T12)-1*Sheet3!$B11,COLUMN(T12)-2*Sheet3!U$1)  &amp;" (1:" &amp;'Paste Sample Names Here'!$K$3 &amp; ")"))</f>
        <v/>
      </c>
      <c r="V11" s="85" t="str">
        <f ca="1" xml:space="preserve"> IF(OFFSET('Metagenomic Sample Plates'!V$2, ROW()-1*Sheet3!$B11,COLUMN()-2*Sheet3!W$1)="", "", IF('Paste Sample Names Here'!$C$3="", "DILUTION?", OFFSET('Metagenomic Sample Plates'!V$2, ROW()-1*Sheet3!$B11,COLUMN()-2*Sheet3!W$1)  &amp; " (1:" &amp; 'Paste Sample Names Here'!$C$3 &amp; ")"))</f>
        <v/>
      </c>
      <c r="W11" s="86" t="str">
        <f ca="1" xml:space="preserve"> IF(OFFSET('Metagenomic Sample Plates'!V$23, ROW(V12)-1*Sheet3!$B11,COLUMN(V12)-2*Sheet3!W$1)="", "", IF('Paste Sample Names Here'!$K$3="", "DILUTION?", OFFSET('Metagenomic Sample Plates'!V$23, ROW(V12)-1*Sheet3!$B11,COLUMN(V12)-2*Sheet3!W$1)  &amp;" (1:" &amp;'Paste Sample Names Here'!$K$3 &amp; ")"))</f>
        <v/>
      </c>
      <c r="X11" s="85" t="str">
        <f ca="1" xml:space="preserve"> IF(OFFSET('Metagenomic Sample Plates'!X$2, ROW()-1*Sheet3!$B11,COLUMN()-2*Sheet3!Y$1)="", "", IF('Paste Sample Names Here'!$C$3="", "DILUTION?", OFFSET('Metagenomic Sample Plates'!X$2, ROW()-1*Sheet3!$B11,COLUMN()-2*Sheet3!Y$1)  &amp; " (1:" &amp; 'Paste Sample Names Here'!$C$3 &amp; ")"))</f>
        <v/>
      </c>
      <c r="Y11" s="86" t="str">
        <f ca="1">IF(OFFSET('Metagenomic Sample Plates'!X$23, ROW(X12)-1*Sheet3!$B11,COLUMN(X12)-2*Sheet3!Y$1)="", "",OFFSET('Metagenomic Sample Plates'!X$23, ROW(X12)-1*Sheet3!$B11,COLUMN(X12)-2*Sheet3!Y$1))</f>
        <v/>
      </c>
    </row>
    <row r="12" spans="1:25" s="28" customFormat="1" ht="40" customHeight="1" x14ac:dyDescent="0.2">
      <c r="A12" s="25" t="s">
        <v>9</v>
      </c>
      <c r="B12" s="87" t="str">
        <f ca="1" xml:space="preserve"> IF(OFFSET('Metagenomic Sample Plates'!B$12, ROW(B12)-1*Sheet3!$B11,COLUMN(B12)-2*Sheet3!C$1)="", "", IF('Paste Sample Names Here'!$G$3="", "DILUTION?", OFFSET('Metagenomic Sample Plates'!B$12, ROW(B12)-1*Sheet3!$B11,COLUMN(B12)-2*Sheet3!C$1)  &amp;" (1:" &amp; 'Paste Sample Names Here'!$G$3 &amp; ")"))</f>
        <v/>
      </c>
      <c r="C12" s="104" t="str">
        <f ca="1" xml:space="preserve"> IF(OFFSET('Metagenomic Sample Plates'!B$34, ROW(B12)-1*Sheet3!$B11,COLUMN(B12)-2*Sheet3!C$1)="", "", IF('Paste Sample Names Here'!$O$3="", "DILUTION?",OFFSET('Metagenomic Sample Plates'!B$34, ROW(B12)-1*Sheet3!$B11,COLUMN(B12)-2*Sheet3!C$1)  &amp;" (1:" &amp; 'Paste Sample Names Here'!$O$3 &amp; ")"))</f>
        <v/>
      </c>
      <c r="D12" s="87" t="str">
        <f ca="1" xml:space="preserve"> IF(OFFSET('Metagenomic Sample Plates'!D$12, ROW(D12)-1*Sheet3!$B11,COLUMN(D12)-2*Sheet3!E$1)="", "", IF('Paste Sample Names Here'!$G$3="", "DILUTION?", OFFSET('Metagenomic Sample Plates'!D$12, ROW(D12)-1*Sheet3!$B11,COLUMN(D12)-2*Sheet3!E$1)  &amp;" (1:" &amp; 'Paste Sample Names Here'!$G$3 &amp; ")"))</f>
        <v/>
      </c>
      <c r="E12" s="104" t="str">
        <f ca="1" xml:space="preserve"> IF(OFFSET('Metagenomic Sample Plates'!D$34, ROW(D12)-1*Sheet3!$B11,COLUMN(D12)-2*Sheet3!E$1)="", "", IF('Paste Sample Names Here'!$O$3="", "DILUTION?",OFFSET('Metagenomic Sample Plates'!D$34, ROW(D12)-1*Sheet3!$B11,COLUMN(D12)-2*Sheet3!E$1)  &amp;" (1:" &amp; 'Paste Sample Names Here'!$O$3 &amp; ")"))</f>
        <v/>
      </c>
      <c r="F12" s="87" t="str">
        <f ca="1" xml:space="preserve"> IF(OFFSET('Metagenomic Sample Plates'!F$12, ROW(F12)-1*Sheet3!$B11,COLUMN(F12)-2*Sheet3!G$1)="", "", IF('Paste Sample Names Here'!$G$3="", "DILUTION?", OFFSET('Metagenomic Sample Plates'!F$12, ROW(F12)-1*Sheet3!$B11,COLUMN(F12)-2*Sheet3!G$1)  &amp;" (1:" &amp; 'Paste Sample Names Here'!$G$3 &amp; ")"))</f>
        <v/>
      </c>
      <c r="G12" s="104" t="str">
        <f ca="1" xml:space="preserve"> IF(OFFSET('Metagenomic Sample Plates'!F$34, ROW(F12)-1*Sheet3!$B11,COLUMN(F12)-2*Sheet3!G$1)="", "", IF('Paste Sample Names Here'!$O$3="", "DILUTION?",OFFSET('Metagenomic Sample Plates'!F$34, ROW(F12)-1*Sheet3!$B11,COLUMN(F12)-2*Sheet3!G$1)  &amp;" (1:" &amp; 'Paste Sample Names Here'!$O$3 &amp; ")"))</f>
        <v/>
      </c>
      <c r="H12" s="87" t="str">
        <f ca="1" xml:space="preserve"> IF(OFFSET('Metagenomic Sample Plates'!H$12, ROW(H12)-1*Sheet3!$B11,COLUMN(H12)-2*Sheet3!I$1)="", "", IF('Paste Sample Names Here'!$G$3="", "DILUTION?", OFFSET('Metagenomic Sample Plates'!H$12, ROW(H12)-1*Sheet3!$B11,COLUMN(H12)-2*Sheet3!I$1)  &amp;" (1:" &amp; 'Paste Sample Names Here'!$G$3 &amp; ")"))</f>
        <v/>
      </c>
      <c r="I12" s="104" t="str">
        <f ca="1" xml:space="preserve"> IF(OFFSET('Metagenomic Sample Plates'!H$34, ROW(H12)-1*Sheet3!$B11,COLUMN(H12)-2*Sheet3!I$1)="", "", IF('Paste Sample Names Here'!$O$3="", "DILUTION?",OFFSET('Metagenomic Sample Plates'!H$34, ROW(H12)-1*Sheet3!$B11,COLUMN(H12)-2*Sheet3!I$1)  &amp;" (1:" &amp; 'Paste Sample Names Here'!$O$3 &amp; ")"))</f>
        <v/>
      </c>
      <c r="J12" s="87" t="str">
        <f ca="1" xml:space="preserve"> IF(OFFSET('Metagenomic Sample Plates'!J$12, ROW(J12)-1*Sheet3!$B11,COLUMN(J12)-2*Sheet3!K$1)="", "", IF('Paste Sample Names Here'!$G$3="", "DILUTION?", OFFSET('Metagenomic Sample Plates'!J$12, ROW(J12)-1*Sheet3!$B11,COLUMN(J12)-2*Sheet3!K$1)  &amp;" (1:" &amp; 'Paste Sample Names Here'!$G$3 &amp; ")"))</f>
        <v/>
      </c>
      <c r="K12" s="104" t="str">
        <f ca="1" xml:space="preserve"> IF(OFFSET('Metagenomic Sample Plates'!J$34, ROW(J12)-1*Sheet3!$B11,COLUMN(J12)-2*Sheet3!K$1)="", "", IF('Paste Sample Names Here'!$O$3="", "DILUTION?",OFFSET('Metagenomic Sample Plates'!J$34, ROW(J12)-1*Sheet3!$B11,COLUMN(J12)-2*Sheet3!K$1)  &amp;" (1:" &amp; 'Paste Sample Names Here'!$O$3 &amp; ")"))</f>
        <v/>
      </c>
      <c r="L12" s="87" t="str">
        <f ca="1" xml:space="preserve"> IF(OFFSET('Metagenomic Sample Plates'!L$12, ROW(L12)-1*Sheet3!$B11,COLUMN(L12)-2*Sheet3!M$1)="", "", IF('Paste Sample Names Here'!$G$3="", "DILUTION?", OFFSET('Metagenomic Sample Plates'!L$12, ROW(L12)-1*Sheet3!$B11,COLUMN(L12)-2*Sheet3!M$1)  &amp;" (1:" &amp; 'Paste Sample Names Here'!$G$3 &amp; ")"))</f>
        <v/>
      </c>
      <c r="M12" s="104" t="str">
        <f ca="1" xml:space="preserve"> IF(OFFSET('Metagenomic Sample Plates'!L$34, ROW(L12)-1*Sheet3!$B11,COLUMN(L12)-2*Sheet3!M$1)="", "", IF('Paste Sample Names Here'!$O$3="", "DILUTION?",OFFSET('Metagenomic Sample Plates'!L$34, ROW(L12)-1*Sheet3!$B11,COLUMN(L12)-2*Sheet3!M$1)  &amp;" (1:" &amp; 'Paste Sample Names Here'!$O$3 &amp; ")"))</f>
        <v/>
      </c>
      <c r="N12" s="87" t="str">
        <f ca="1" xml:space="preserve"> IF(OFFSET('Metagenomic Sample Plates'!N$12, ROW(N12)-1*Sheet3!$B11,COLUMN(N12)-2*Sheet3!O$1)="", "", IF('Paste Sample Names Here'!$G$3="", "DILUTION?", OFFSET('Metagenomic Sample Plates'!N$12, ROW(N12)-1*Sheet3!$B11,COLUMN(N12)-2*Sheet3!O$1)  &amp;" (1:" &amp; 'Paste Sample Names Here'!$G$3 &amp; ")"))</f>
        <v/>
      </c>
      <c r="O12" s="104" t="str">
        <f ca="1" xml:space="preserve"> IF(OFFSET('Metagenomic Sample Plates'!N$34, ROW(N12)-1*Sheet3!$B11,COLUMN(N12)-2*Sheet3!O$1)="", "", IF('Paste Sample Names Here'!$O$3="", "DILUTION?",OFFSET('Metagenomic Sample Plates'!N$34, ROW(N12)-1*Sheet3!$B11,COLUMN(N12)-2*Sheet3!O$1)  &amp;" (1:" &amp; 'Paste Sample Names Here'!$O$3 &amp; ")"))</f>
        <v/>
      </c>
      <c r="P12" s="87" t="str">
        <f ca="1" xml:space="preserve"> IF(OFFSET('Metagenomic Sample Plates'!P$12, ROW(P12)-1*Sheet3!$B11,COLUMN(P12)-2*Sheet3!Q$1)="", "", IF('Paste Sample Names Here'!$G$3="", "DILUTION?", OFFSET('Metagenomic Sample Plates'!P$12, ROW(P12)-1*Sheet3!$B11,COLUMN(P12)-2*Sheet3!Q$1)  &amp;" (1:" &amp; 'Paste Sample Names Here'!$G$3 &amp; ")"))</f>
        <v/>
      </c>
      <c r="Q12" s="104" t="str">
        <f ca="1" xml:space="preserve"> IF(OFFSET('Metagenomic Sample Plates'!P$34, ROW(P12)-1*Sheet3!$B11,COLUMN(P12)-2*Sheet3!Q$1)="", "", IF('Paste Sample Names Here'!$O$3="", "DILUTION?",OFFSET('Metagenomic Sample Plates'!P$34, ROW(P12)-1*Sheet3!$B11,COLUMN(P12)-2*Sheet3!Q$1)  &amp;" (1:" &amp; 'Paste Sample Names Here'!$O$3 &amp; ")"))</f>
        <v/>
      </c>
      <c r="R12" s="87" t="str">
        <f ca="1" xml:space="preserve"> IF(OFFSET('Metagenomic Sample Plates'!R$12, ROW(R12)-1*Sheet3!$B11,COLUMN(R12)-2*Sheet3!S$1)="", "", IF('Paste Sample Names Here'!$G$3="", "DILUTION?", OFFSET('Metagenomic Sample Plates'!R$12, ROW(R12)-1*Sheet3!$B11,COLUMN(R12)-2*Sheet3!S$1)  &amp;" (1:" &amp; 'Paste Sample Names Here'!$G$3 &amp; ")"))</f>
        <v/>
      </c>
      <c r="S12" s="104" t="str">
        <f ca="1" xml:space="preserve"> IF(OFFSET('Metagenomic Sample Plates'!R$34, ROW(R12)-1*Sheet3!$B11,COLUMN(R12)-2*Sheet3!S$1)="", "", IF('Paste Sample Names Here'!$O$3="", "DILUTION?",OFFSET('Metagenomic Sample Plates'!R$34, ROW(R12)-1*Sheet3!$B11,COLUMN(R12)-2*Sheet3!S$1)  &amp;" (1:" &amp; 'Paste Sample Names Here'!$O$3 &amp; ")"))</f>
        <v/>
      </c>
      <c r="T12" s="87" t="str">
        <f ca="1" xml:space="preserve"> IF(OFFSET('Metagenomic Sample Plates'!T$12, ROW(T12)-1*Sheet3!$B11,COLUMN(T12)-2*Sheet3!U$1)="", "", IF('Paste Sample Names Here'!$G$3="", "DILUTION?", OFFSET('Metagenomic Sample Plates'!T$12, ROW(T12)-1*Sheet3!$B11,COLUMN(T12)-2*Sheet3!U$1)  &amp;" (1:" &amp; 'Paste Sample Names Here'!$G$3 &amp; ")"))</f>
        <v/>
      </c>
      <c r="U12" s="104" t="str">
        <f ca="1" xml:space="preserve"> IF(OFFSET('Metagenomic Sample Plates'!T$34, ROW(T12)-1*Sheet3!$B11,COLUMN(T12)-2*Sheet3!U$1)="", "", IF('Paste Sample Names Here'!$O$3="", "DILUTION?",OFFSET('Metagenomic Sample Plates'!T$34, ROW(T12)-1*Sheet3!$B11,COLUMN(T12)-2*Sheet3!U$1)  &amp;" (1:" &amp; 'Paste Sample Names Here'!$O$3 &amp; ")"))</f>
        <v/>
      </c>
      <c r="V12" s="87" t="str">
        <f ca="1" xml:space="preserve"> IF(OFFSET('Metagenomic Sample Plates'!V$12, ROW(V12)-1*Sheet3!$B11,COLUMN(V12)-2*Sheet3!W$1)="", "", IF('Paste Sample Names Here'!$G$3="", "DILUTION?", OFFSET('Metagenomic Sample Plates'!V$12, ROW(V12)-1*Sheet3!$B11,COLUMN(V12)-2*Sheet3!W$1)  &amp;" (1:" &amp; 'Paste Sample Names Here'!$G$3 &amp; ")"))</f>
        <v/>
      </c>
      <c r="W12" s="104" t="str">
        <f ca="1" xml:space="preserve">  IF(OFFSET('Metagenomic Sample Plates'!V$34, ROW(V12)-1*Sheet3!$B11,COLUMN(V12)-2*Sheet3!W$1)="NTC","NTC", IF(OFFSET('Metagenomic Sample Plates'!V$34, ROW(V12)-1*Sheet3!$B11,COLUMN(V12)-2*Sheet3!W$1)="", "", IF('Paste Sample Names Here'!$O$3="", "DILUTION?",OFFSET('Metagenomic Sample Plates'!V$34, ROW(V12)-1*Sheet3!$B11,COLUMN(V12)-2*Sheet3!W$1)  &amp;" (1:" &amp; 'Paste Sample Names Here'!$O$3 &amp; ")")))</f>
        <v>NTC</v>
      </c>
      <c r="X12" s="87" t="str">
        <f ca="1" xml:space="preserve"> IF(OFFSET('Metagenomic Sample Plates'!X$12, ROW(X12)-1*Sheet3!$B11,COLUMN(X12)-2*Sheet3!Y$1)="", "", IF('Paste Sample Names Here'!$G$3="", "DILUTION?", OFFSET('Metagenomic Sample Plates'!X$12, ROW(X12)-1*Sheet3!$B11,COLUMN(X12)-2*Sheet3!Y$1)  &amp;" (1:" &amp; 'Paste Sample Names Here'!$G$3 &amp; ")"))</f>
        <v/>
      </c>
      <c r="Y12" s="104" t="str">
        <f ca="1">IF(OFFSET('Metagenomic Sample Plates'!X$34, ROW(X12)-1*Sheet3!$B11,COLUMN(X12)-2*Sheet3!Y$1)="", "",OFFSET('Metagenomic Sample Plates'!X$34, ROW(X12)-1*Sheet3!$B11,COLUMN(X12)-2*Sheet3!Y$1))</f>
        <v>Standard 1</v>
      </c>
    </row>
    <row r="13" spans="1:25" s="28" customFormat="1" ht="40" customHeight="1" x14ac:dyDescent="0.2">
      <c r="A13" s="25" t="s">
        <v>10</v>
      </c>
      <c r="B13" s="85" t="str">
        <f ca="1" xml:space="preserve"> IF(OFFSET('Metagenomic Sample Plates'!B$2, ROW()-1*Sheet3!$B13,COLUMN()-2*Sheet3!C$1)="", "", IF('Paste Sample Names Here'!$C$3="", "DILUTION?", OFFSET('Metagenomic Sample Plates'!B$2, ROW()-1*Sheet3!$B13,COLUMN()-2*Sheet3!C$1)  &amp; " (1:" &amp; 'Paste Sample Names Here'!$C$3 &amp; ")"))</f>
        <v>2AP10 (1:1000)</v>
      </c>
      <c r="C13" s="86" t="str">
        <f ca="1" xml:space="preserve"> IF(OFFSET('Metagenomic Sample Plates'!B$23, ROW(B14)-1*Sheet3!$B13,COLUMN(B14)-2*Sheet3!C$1)="", "", IF('Paste Sample Names Here'!$K$3="", "DILUTION?", OFFSET('Metagenomic Sample Plates'!B$23, ROW(B14)-1*Sheet3!$B13,COLUMN(B14)-2*Sheet3!C$1)  &amp;" (1:" &amp;'Paste Sample Names Here'!$K$3 &amp; ")"))</f>
        <v/>
      </c>
      <c r="D13" s="85" t="str">
        <f ca="1" xml:space="preserve"> IF(OFFSET('Metagenomic Sample Plates'!D$2, ROW()-1*Sheet3!$B13,COLUMN()-2*Sheet3!E$1)="", "", IF('Paste Sample Names Here'!$C$3="", "DILUTION?", OFFSET('Metagenomic Sample Plates'!D$2, ROW()-1*Sheet3!$B13,COLUMN()-2*Sheet3!E$1)  &amp; " (1:" &amp; 'Paste Sample Names Here'!$C$3 &amp; ")"))</f>
        <v>2AP18 (1:1000)</v>
      </c>
      <c r="E13" s="86" t="str">
        <f ca="1" xml:space="preserve"> IF(OFFSET('Metagenomic Sample Plates'!D$23, ROW(D14)-1*Sheet3!$B13,COLUMN(D14)-2*Sheet3!E$1)="", "", IF('Paste Sample Names Here'!$K$3="", "DILUTION?", OFFSET('Metagenomic Sample Plates'!D$23, ROW(D14)-1*Sheet3!$B13,COLUMN(D14)-2*Sheet3!E$1)  &amp;" (1:" &amp;'Paste Sample Names Here'!$K$3 &amp; ")"))</f>
        <v/>
      </c>
      <c r="F13" s="85" t="str">
        <f ca="1" xml:space="preserve"> IF(OFFSET('Metagenomic Sample Plates'!F$2, ROW()-1*Sheet3!$B13,COLUMN()-2*Sheet3!G$1)="", "", IF('Paste Sample Names Here'!$C$3="", "DILUTION?", OFFSET('Metagenomic Sample Plates'!F$2, ROW()-1*Sheet3!$B13,COLUMN()-2*Sheet3!G$1)  &amp; " (1:" &amp; 'Paste Sample Names Here'!$C$3 &amp; ")"))</f>
        <v>2AP26 (1:1000)</v>
      </c>
      <c r="G13" s="86" t="str">
        <f ca="1" xml:space="preserve"> IF(OFFSET('Metagenomic Sample Plates'!F$23, ROW(F14)-1*Sheet3!$B13,COLUMN(F14)-2*Sheet3!G$1)="", "", IF('Paste Sample Names Here'!$K$3="", "DILUTION?", OFFSET('Metagenomic Sample Plates'!F$23, ROW(F14)-1*Sheet3!$B13,COLUMN(F14)-2*Sheet3!G$1)  &amp;" (1:" &amp;'Paste Sample Names Here'!$K$3 &amp; ")"))</f>
        <v/>
      </c>
      <c r="H13" s="85" t="str">
        <f ca="1" xml:space="preserve"> IF(OFFSET('Metagenomic Sample Plates'!H$2, ROW()-1*Sheet3!$B13,COLUMN()-2*Sheet3!I$1)="", "", IF('Paste Sample Names Here'!$C$3="", "DILUTION?", OFFSET('Metagenomic Sample Plates'!H$2, ROW()-1*Sheet3!$B13,COLUMN()-2*Sheet3!I$1)  &amp; " (1:" &amp; 'Paste Sample Names Here'!$C$3 &amp; ")"))</f>
        <v>L0P8 (1:1000)</v>
      </c>
      <c r="I13" s="86" t="str">
        <f ca="1" xml:space="preserve"> IF(OFFSET('Metagenomic Sample Plates'!H$23, ROW(H14)-1*Sheet3!$B13,COLUMN(H14)-2*Sheet3!I$1)="", "", IF('Paste Sample Names Here'!$K$3="", "DILUTION?", OFFSET('Metagenomic Sample Plates'!H$23, ROW(H14)-1*Sheet3!$B13,COLUMN(H14)-2*Sheet3!I$1)  &amp;" (1:" &amp;'Paste Sample Names Here'!$K$3 &amp; ")"))</f>
        <v/>
      </c>
      <c r="J13" s="85" t="str">
        <f ca="1" xml:space="preserve"> IF(OFFSET('Metagenomic Sample Plates'!J$2, ROW()-1*Sheet3!$B13,COLUMN()-2*Sheet3!K$1)="", "", IF('Paste Sample Names Here'!$C$3="", "DILUTION?", OFFSET('Metagenomic Sample Plates'!J$2, ROW()-1*Sheet3!$B13,COLUMN()-2*Sheet3!K$1)  &amp; " (1:" &amp; 'Paste Sample Names Here'!$C$3 &amp; ")"))</f>
        <v>L0P16 (1:1000)</v>
      </c>
      <c r="K13" s="86" t="str">
        <f ca="1" xml:space="preserve"> IF(OFFSET('Metagenomic Sample Plates'!J$23, ROW(J14)-1*Sheet3!$B13,COLUMN(J14)-2*Sheet3!K$1)="", "", IF('Paste Sample Names Here'!$K$3="", "DILUTION?", OFFSET('Metagenomic Sample Plates'!J$23, ROW(J14)-1*Sheet3!$B13,COLUMN(J14)-2*Sheet3!K$1)  &amp;" (1:" &amp;'Paste Sample Names Here'!$K$3 &amp; ")"))</f>
        <v/>
      </c>
      <c r="L13" s="85" t="str">
        <f ca="1" xml:space="preserve"> IF(OFFSET('Metagenomic Sample Plates'!L$2, ROW()-1*Sheet3!$B13,COLUMN()-2*Sheet3!M$1)="", "", IF('Paste Sample Names Here'!$C$3="", "DILUTION?", OFFSET('Metagenomic Sample Plates'!L$2, ROW()-1*Sheet3!$B13,COLUMN()-2*Sheet3!M$1)  &amp; " (1:" &amp; 'Paste Sample Names Here'!$C$3 &amp; ")"))</f>
        <v>L0P24 (1:1000)</v>
      </c>
      <c r="M13" s="86" t="str">
        <f ca="1" xml:space="preserve"> IF(OFFSET('Metagenomic Sample Plates'!L$23, ROW(L14)-1*Sheet3!$B13,COLUMN(L14)-2*Sheet3!M$1)="", "", IF('Paste Sample Names Here'!$K$3="", "DILUTION?", OFFSET('Metagenomic Sample Plates'!L$23, ROW(L14)-1*Sheet3!$B13,COLUMN(L14)-2*Sheet3!M$1)  &amp;" (1:" &amp;'Paste Sample Names Here'!$K$3 &amp; ")"))</f>
        <v/>
      </c>
      <c r="N13" s="85" t="str">
        <f ca="1" xml:space="preserve"> IF(OFFSET('Metagenomic Sample Plates'!N$2, ROW()-1*Sheet3!$B13,COLUMN()-2*Sheet3!O$1)="", "", IF('Paste Sample Names Here'!$C$3="", "DILUTION?", OFFSET('Metagenomic Sample Plates'!N$2, ROW()-1*Sheet3!$B13,COLUMN()-2*Sheet3!O$1)  &amp; " (1:" &amp; 'Paste Sample Names Here'!$C$3 &amp; ")"))</f>
        <v/>
      </c>
      <c r="O13" s="86" t="str">
        <f ca="1" xml:space="preserve"> IF(OFFSET('Metagenomic Sample Plates'!N$23, ROW(N14)-1*Sheet3!$B13,COLUMN(N14)-2*Sheet3!O$1)="", "", IF('Paste Sample Names Here'!$K$3="", "DILUTION?", OFFSET('Metagenomic Sample Plates'!N$23, ROW(N14)-1*Sheet3!$B13,COLUMN(N14)-2*Sheet3!O$1)  &amp;" (1:" &amp;'Paste Sample Names Here'!$K$3 &amp; ")"))</f>
        <v/>
      </c>
      <c r="P13" s="85" t="str">
        <f ca="1" xml:space="preserve"> IF(OFFSET('Metagenomic Sample Plates'!P$2, ROW()-1*Sheet3!$B13,COLUMN()-2*Sheet3!Q$1)="", "", IF('Paste Sample Names Here'!$C$3="", "DILUTION?", OFFSET('Metagenomic Sample Plates'!P$2, ROW()-1*Sheet3!$B13,COLUMN()-2*Sheet3!Q$1)  &amp; " (1:" &amp; 'Paste Sample Names Here'!$C$3 &amp; ")"))</f>
        <v>BarLP10C (1:1000)</v>
      </c>
      <c r="Q13" s="86" t="str">
        <f ca="1" xml:space="preserve"> IF(OFFSET('Metagenomic Sample Plates'!P$23, ROW(P14)-1*Sheet3!$B13,COLUMN(P14)-2*Sheet3!Q$1)="", "", IF('Paste Sample Names Here'!$K$3="", "DILUTION?", OFFSET('Metagenomic Sample Plates'!P$23, ROW(P14)-1*Sheet3!$B13,COLUMN(P14)-2*Sheet3!Q$1)  &amp;" (1:" &amp;'Paste Sample Names Here'!$K$3 &amp; ")"))</f>
        <v/>
      </c>
      <c r="R13" s="85" t="str">
        <f ca="1" xml:space="preserve"> IF(OFFSET('Metagenomic Sample Plates'!R$2, ROW()-1*Sheet3!$B13,COLUMN()-2*Sheet3!S$1)="", "", IF('Paste Sample Names Here'!$C$3="", "DILUTION?", OFFSET('Metagenomic Sample Plates'!R$2, ROW()-1*Sheet3!$B13,COLUMN()-2*Sheet3!S$1)  &amp; " (1:" &amp; 'Paste Sample Names Here'!$C$3 &amp; ")"))</f>
        <v>BarLP18C (1:1000)</v>
      </c>
      <c r="S13" s="86" t="str">
        <f ca="1" xml:space="preserve"> IF(OFFSET('Metagenomic Sample Plates'!R$23, ROW(R14)-1*Sheet3!$B13,COLUMN(R14)-2*Sheet3!S$1)="", "", IF('Paste Sample Names Here'!$K$3="", "DILUTION?", OFFSET('Metagenomic Sample Plates'!R$23, ROW(R14)-1*Sheet3!$B13,COLUMN(R14)-2*Sheet3!S$1)  &amp;" (1:" &amp;'Paste Sample Names Here'!$K$3 &amp; ")"))</f>
        <v/>
      </c>
      <c r="T13" s="85" t="str">
        <f ca="1" xml:space="preserve"> IF(OFFSET('Metagenomic Sample Plates'!T$2, ROW()-1*Sheet3!$B13,COLUMN()-2*Sheet3!U$1)="", "", IF('Paste Sample Names Here'!$C$3="", "DILUTION?", OFFSET('Metagenomic Sample Plates'!T$2, ROW()-1*Sheet3!$B13,COLUMN()-2*Sheet3!U$1)  &amp; " (1:" &amp; 'Paste Sample Names Here'!$C$3 &amp; ")"))</f>
        <v>BarLP12H (1:1000)</v>
      </c>
      <c r="U13" s="86" t="str">
        <f ca="1" xml:space="preserve"> IF(OFFSET('Metagenomic Sample Plates'!T$23, ROW(T14)-1*Sheet3!$B13,COLUMN(T14)-2*Sheet3!U$1)="", "", IF('Paste Sample Names Here'!$K$3="", "DILUTION?", OFFSET('Metagenomic Sample Plates'!T$23, ROW(T14)-1*Sheet3!$B13,COLUMN(T14)-2*Sheet3!U$1)  &amp;" (1:" &amp;'Paste Sample Names Here'!$K$3 &amp; ")"))</f>
        <v/>
      </c>
      <c r="V13" s="85" t="str">
        <f ca="1" xml:space="preserve"> IF(OFFSET('Metagenomic Sample Plates'!V$2, ROW()-1*Sheet3!$B13,COLUMN()-2*Sheet3!W$1)="", "", IF('Paste Sample Names Here'!$C$3="", "DILUTION?", OFFSET('Metagenomic Sample Plates'!V$2, ROW()-1*Sheet3!$B13,COLUMN()-2*Sheet3!W$1)  &amp; " (1:" &amp; 'Paste Sample Names Here'!$C$3 &amp; ")"))</f>
        <v/>
      </c>
      <c r="W13" s="86" t="str">
        <f ca="1" xml:space="preserve"> IF(OFFSET('Metagenomic Sample Plates'!V$23, ROW(V14)-1*Sheet3!$B13,COLUMN(V14)-2*Sheet3!W$1)="", "", IF('Paste Sample Names Here'!$K$3="", "DILUTION?", OFFSET('Metagenomic Sample Plates'!V$23, ROW(V14)-1*Sheet3!$B13,COLUMN(V14)-2*Sheet3!W$1)  &amp;" (1:" &amp;'Paste Sample Names Here'!$K$3 &amp; ")"))</f>
        <v/>
      </c>
      <c r="X13" s="85" t="str">
        <f ca="1" xml:space="preserve"> IF(OFFSET('Metagenomic Sample Plates'!X$2, ROW()-1*Sheet3!$B13,COLUMN()-2*Sheet3!Y$1)="", "", IF('Paste Sample Names Here'!$C$3="", "DILUTION?", OFFSET('Metagenomic Sample Plates'!X$2, ROW()-1*Sheet3!$B13,COLUMN()-2*Sheet3!Y$1)  &amp; " (1:" &amp; 'Paste Sample Names Here'!$C$3 &amp; ")"))</f>
        <v/>
      </c>
      <c r="Y13" s="86" t="str">
        <f ca="1">IF(OFFSET('Metagenomic Sample Plates'!X$23, ROW(X14)-1*Sheet3!$B13,COLUMN(X14)-2*Sheet3!Y$1)="", "",OFFSET('Metagenomic Sample Plates'!X$23, ROW(X14)-1*Sheet3!$B13,COLUMN(X14)-2*Sheet3!Y$1))</f>
        <v/>
      </c>
    </row>
    <row r="14" spans="1:25" s="28" customFormat="1" ht="40" customHeight="1" x14ac:dyDescent="0.2">
      <c r="A14" s="25" t="s">
        <v>11</v>
      </c>
      <c r="B14" s="87" t="str">
        <f ca="1" xml:space="preserve"> IF(OFFSET('Metagenomic Sample Plates'!B$12, ROW(B14)-1*Sheet3!$B13,COLUMN(B14)-2*Sheet3!C$1)="", "", IF('Paste Sample Names Here'!$G$3="", "DILUTION?", OFFSET('Metagenomic Sample Plates'!B$12, ROW(B14)-1*Sheet3!$B13,COLUMN(B14)-2*Sheet3!C$1)  &amp;" (1:" &amp; 'Paste Sample Names Here'!$G$3 &amp; ")"))</f>
        <v/>
      </c>
      <c r="C14" s="104" t="str">
        <f ca="1" xml:space="preserve"> IF(OFFSET('Metagenomic Sample Plates'!B$34, ROW(B14)-1*Sheet3!$B13,COLUMN(B14)-2*Sheet3!C$1)="", "", IF('Paste Sample Names Here'!$O$3="", "DILUTION?",OFFSET('Metagenomic Sample Plates'!B$34, ROW(B14)-1*Sheet3!$B13,COLUMN(B14)-2*Sheet3!C$1)  &amp;" (1:" &amp; 'Paste Sample Names Here'!$O$3 &amp; ")"))</f>
        <v/>
      </c>
      <c r="D14" s="87" t="str">
        <f ca="1" xml:space="preserve"> IF(OFFSET('Metagenomic Sample Plates'!D$12, ROW(D14)-1*Sheet3!$B13,COLUMN(D14)-2*Sheet3!E$1)="", "", IF('Paste Sample Names Here'!$G$3="", "DILUTION?", OFFSET('Metagenomic Sample Plates'!D$12, ROW(D14)-1*Sheet3!$B13,COLUMN(D14)-2*Sheet3!E$1)  &amp;" (1:" &amp; 'Paste Sample Names Here'!$G$3 &amp; ")"))</f>
        <v/>
      </c>
      <c r="E14" s="104" t="str">
        <f ca="1" xml:space="preserve"> IF(OFFSET('Metagenomic Sample Plates'!D$34, ROW(D14)-1*Sheet3!$B13,COLUMN(D14)-2*Sheet3!E$1)="", "", IF('Paste Sample Names Here'!$O$3="", "DILUTION?",OFFSET('Metagenomic Sample Plates'!D$34, ROW(D14)-1*Sheet3!$B13,COLUMN(D14)-2*Sheet3!E$1)  &amp;" (1:" &amp; 'Paste Sample Names Here'!$O$3 &amp; ")"))</f>
        <v/>
      </c>
      <c r="F14" s="87" t="str">
        <f ca="1" xml:space="preserve"> IF(OFFSET('Metagenomic Sample Plates'!F$12, ROW(F14)-1*Sheet3!$B13,COLUMN(F14)-2*Sheet3!G$1)="", "", IF('Paste Sample Names Here'!$G$3="", "DILUTION?", OFFSET('Metagenomic Sample Plates'!F$12, ROW(F14)-1*Sheet3!$B13,COLUMN(F14)-2*Sheet3!G$1)  &amp;" (1:" &amp; 'Paste Sample Names Here'!$G$3 &amp; ")"))</f>
        <v/>
      </c>
      <c r="G14" s="104" t="str">
        <f ca="1" xml:space="preserve"> IF(OFFSET('Metagenomic Sample Plates'!F$34, ROW(F14)-1*Sheet3!$B13,COLUMN(F14)-2*Sheet3!G$1)="", "", IF('Paste Sample Names Here'!$O$3="", "DILUTION?",OFFSET('Metagenomic Sample Plates'!F$34, ROW(F14)-1*Sheet3!$B13,COLUMN(F14)-2*Sheet3!G$1)  &amp;" (1:" &amp; 'Paste Sample Names Here'!$O$3 &amp; ")"))</f>
        <v/>
      </c>
      <c r="H14" s="87" t="str">
        <f ca="1" xml:space="preserve"> IF(OFFSET('Metagenomic Sample Plates'!H$12, ROW(H14)-1*Sheet3!$B13,COLUMN(H14)-2*Sheet3!I$1)="", "", IF('Paste Sample Names Here'!$G$3="", "DILUTION?", OFFSET('Metagenomic Sample Plates'!H$12, ROW(H14)-1*Sheet3!$B13,COLUMN(H14)-2*Sheet3!I$1)  &amp;" (1:" &amp; 'Paste Sample Names Here'!$G$3 &amp; ")"))</f>
        <v/>
      </c>
      <c r="I14" s="104" t="str">
        <f ca="1" xml:space="preserve"> IF(OFFSET('Metagenomic Sample Plates'!H$34, ROW(H14)-1*Sheet3!$B13,COLUMN(H14)-2*Sheet3!I$1)="", "", IF('Paste Sample Names Here'!$O$3="", "DILUTION?",OFFSET('Metagenomic Sample Plates'!H$34, ROW(H14)-1*Sheet3!$B13,COLUMN(H14)-2*Sheet3!I$1)  &amp;" (1:" &amp; 'Paste Sample Names Here'!$O$3 &amp; ")"))</f>
        <v/>
      </c>
      <c r="J14" s="87" t="str">
        <f ca="1" xml:space="preserve"> IF(OFFSET('Metagenomic Sample Plates'!J$12, ROW(J14)-1*Sheet3!$B13,COLUMN(J14)-2*Sheet3!K$1)="", "", IF('Paste Sample Names Here'!$G$3="", "DILUTION?", OFFSET('Metagenomic Sample Plates'!J$12, ROW(J14)-1*Sheet3!$B13,COLUMN(J14)-2*Sheet3!K$1)  &amp;" (1:" &amp; 'Paste Sample Names Here'!$G$3 &amp; ")"))</f>
        <v/>
      </c>
      <c r="K14" s="104" t="str">
        <f ca="1" xml:space="preserve"> IF(OFFSET('Metagenomic Sample Plates'!J$34, ROW(J14)-1*Sheet3!$B13,COLUMN(J14)-2*Sheet3!K$1)="", "", IF('Paste Sample Names Here'!$O$3="", "DILUTION?",OFFSET('Metagenomic Sample Plates'!J$34, ROW(J14)-1*Sheet3!$B13,COLUMN(J14)-2*Sheet3!K$1)  &amp;" (1:" &amp; 'Paste Sample Names Here'!$O$3 &amp; ")"))</f>
        <v/>
      </c>
      <c r="L14" s="87" t="str">
        <f ca="1" xml:space="preserve"> IF(OFFSET('Metagenomic Sample Plates'!L$12, ROW(L14)-1*Sheet3!$B13,COLUMN(L14)-2*Sheet3!M$1)="", "", IF('Paste Sample Names Here'!$G$3="", "DILUTION?", OFFSET('Metagenomic Sample Plates'!L$12, ROW(L14)-1*Sheet3!$B13,COLUMN(L14)-2*Sheet3!M$1)  &amp;" (1:" &amp; 'Paste Sample Names Here'!$G$3 &amp; ")"))</f>
        <v/>
      </c>
      <c r="M14" s="104" t="str">
        <f ca="1" xml:space="preserve"> IF(OFFSET('Metagenomic Sample Plates'!L$34, ROW(L14)-1*Sheet3!$B13,COLUMN(L14)-2*Sheet3!M$1)="", "", IF('Paste Sample Names Here'!$O$3="", "DILUTION?",OFFSET('Metagenomic Sample Plates'!L$34, ROW(L14)-1*Sheet3!$B13,COLUMN(L14)-2*Sheet3!M$1)  &amp;" (1:" &amp; 'Paste Sample Names Here'!$O$3 &amp; ")"))</f>
        <v/>
      </c>
      <c r="N14" s="87" t="str">
        <f ca="1" xml:space="preserve"> IF(OFFSET('Metagenomic Sample Plates'!N$12, ROW(N14)-1*Sheet3!$B13,COLUMN(N14)-2*Sheet3!O$1)="", "", IF('Paste Sample Names Here'!$G$3="", "DILUTION?", OFFSET('Metagenomic Sample Plates'!N$12, ROW(N14)-1*Sheet3!$B13,COLUMN(N14)-2*Sheet3!O$1)  &amp;" (1:" &amp; 'Paste Sample Names Here'!$G$3 &amp; ")"))</f>
        <v/>
      </c>
      <c r="O14" s="104" t="str">
        <f ca="1" xml:space="preserve"> IF(OFFSET('Metagenomic Sample Plates'!N$34, ROW(N14)-1*Sheet3!$B13,COLUMN(N14)-2*Sheet3!O$1)="", "", IF('Paste Sample Names Here'!$O$3="", "DILUTION?",OFFSET('Metagenomic Sample Plates'!N$34, ROW(N14)-1*Sheet3!$B13,COLUMN(N14)-2*Sheet3!O$1)  &amp;" (1:" &amp; 'Paste Sample Names Here'!$O$3 &amp; ")"))</f>
        <v/>
      </c>
      <c r="P14" s="87" t="str">
        <f ca="1" xml:space="preserve"> IF(OFFSET('Metagenomic Sample Plates'!P$12, ROW(P14)-1*Sheet3!$B13,COLUMN(P14)-2*Sheet3!Q$1)="", "", IF('Paste Sample Names Here'!$G$3="", "DILUTION?", OFFSET('Metagenomic Sample Plates'!P$12, ROW(P14)-1*Sheet3!$B13,COLUMN(P14)-2*Sheet3!Q$1)  &amp;" (1:" &amp; 'Paste Sample Names Here'!$G$3 &amp; ")"))</f>
        <v/>
      </c>
      <c r="Q14" s="104" t="str">
        <f ca="1" xml:space="preserve"> IF(OFFSET('Metagenomic Sample Plates'!P$34, ROW(P14)-1*Sheet3!$B13,COLUMN(P14)-2*Sheet3!Q$1)="", "", IF('Paste Sample Names Here'!$O$3="", "DILUTION?",OFFSET('Metagenomic Sample Plates'!P$34, ROW(P14)-1*Sheet3!$B13,COLUMN(P14)-2*Sheet3!Q$1)  &amp;" (1:" &amp; 'Paste Sample Names Here'!$O$3 &amp; ")"))</f>
        <v/>
      </c>
      <c r="R14" s="87" t="str">
        <f ca="1" xml:space="preserve"> IF(OFFSET('Metagenomic Sample Plates'!R$12, ROW(R14)-1*Sheet3!$B13,COLUMN(R14)-2*Sheet3!S$1)="", "", IF('Paste Sample Names Here'!$G$3="", "DILUTION?", OFFSET('Metagenomic Sample Plates'!R$12, ROW(R14)-1*Sheet3!$B13,COLUMN(R14)-2*Sheet3!S$1)  &amp;" (1:" &amp; 'Paste Sample Names Here'!$G$3 &amp; ")"))</f>
        <v/>
      </c>
      <c r="S14" s="104" t="str">
        <f ca="1" xml:space="preserve"> IF(OFFSET('Metagenomic Sample Plates'!R$34, ROW(R14)-1*Sheet3!$B13,COLUMN(R14)-2*Sheet3!S$1)="", "", IF('Paste Sample Names Here'!$O$3="", "DILUTION?",OFFSET('Metagenomic Sample Plates'!R$34, ROW(R14)-1*Sheet3!$B13,COLUMN(R14)-2*Sheet3!S$1)  &amp;" (1:" &amp; 'Paste Sample Names Here'!$O$3 &amp; ")"))</f>
        <v/>
      </c>
      <c r="T14" s="87" t="str">
        <f ca="1" xml:space="preserve"> IF(OFFSET('Metagenomic Sample Plates'!T$12, ROW(T14)-1*Sheet3!$B13,COLUMN(T14)-2*Sheet3!U$1)="", "", IF('Paste Sample Names Here'!$G$3="", "DILUTION?", OFFSET('Metagenomic Sample Plates'!T$12, ROW(T14)-1*Sheet3!$B13,COLUMN(T14)-2*Sheet3!U$1)  &amp;" (1:" &amp; 'Paste Sample Names Here'!$G$3 &amp; ")"))</f>
        <v/>
      </c>
      <c r="U14" s="104" t="str">
        <f ca="1" xml:space="preserve"> IF(OFFSET('Metagenomic Sample Plates'!T$34, ROW(T14)-1*Sheet3!$B13,COLUMN(T14)-2*Sheet3!U$1)="", "", IF('Paste Sample Names Here'!$O$3="", "DILUTION?",OFFSET('Metagenomic Sample Plates'!T$34, ROW(T14)-1*Sheet3!$B13,COLUMN(T14)-2*Sheet3!U$1)  &amp;" (1:" &amp; 'Paste Sample Names Here'!$O$3 &amp; ")"))</f>
        <v/>
      </c>
      <c r="V14" s="87" t="str">
        <f ca="1" xml:space="preserve"> IF(OFFSET('Metagenomic Sample Plates'!V$12, ROW(V14)-1*Sheet3!$B13,COLUMN(V14)-2*Sheet3!W$1)="", "", IF('Paste Sample Names Here'!$G$3="", "DILUTION?", OFFSET('Metagenomic Sample Plates'!V$12, ROW(V14)-1*Sheet3!$B13,COLUMN(V14)-2*Sheet3!W$1)  &amp;" (1:" &amp; 'Paste Sample Names Here'!$G$3 &amp; ")"))</f>
        <v/>
      </c>
      <c r="W14" s="104" t="str">
        <f ca="1" xml:space="preserve">  IF(OFFSET('Metagenomic Sample Plates'!V$34, ROW(V14)-1*Sheet3!$B13,COLUMN(V14)-2*Sheet3!W$1)="NTC","NTC", IF(OFFSET('Metagenomic Sample Plates'!V$34, ROW(V14)-1*Sheet3!$B13,COLUMN(V14)-2*Sheet3!W$1)="", "", IF('Paste Sample Names Here'!$O$3="", "DILUTION?",OFFSET('Metagenomic Sample Plates'!V$34, ROW(V14)-1*Sheet3!$B13,COLUMN(V14)-2*Sheet3!W$1)  &amp;" (1:" &amp; 'Paste Sample Names Here'!$O$3 &amp; ")")))</f>
        <v>NTC</v>
      </c>
      <c r="X14" s="87" t="str">
        <f ca="1" xml:space="preserve"> IF(OFFSET('Metagenomic Sample Plates'!X$12, ROW(X14)-1*Sheet3!$B13,COLUMN(X14)-2*Sheet3!Y$1)="", "", IF('Paste Sample Names Here'!$G$3="", "DILUTION?", OFFSET('Metagenomic Sample Plates'!X$12, ROW(X14)-1*Sheet3!$B13,COLUMN(X14)-2*Sheet3!Y$1)  &amp;" (1:" &amp; 'Paste Sample Names Here'!$G$3 &amp; ")"))</f>
        <v/>
      </c>
      <c r="Y14" s="104" t="str">
        <f ca="1">IF(OFFSET('Metagenomic Sample Plates'!X$34, ROW(X14)-1*Sheet3!$B13,COLUMN(X14)-2*Sheet3!Y$1)="", "",OFFSET('Metagenomic Sample Plates'!X$34, ROW(X14)-1*Sheet3!$B13,COLUMN(X14)-2*Sheet3!Y$1))</f>
        <v>Standard 2</v>
      </c>
    </row>
    <row r="15" spans="1:25" s="28" customFormat="1" ht="40" customHeight="1" x14ac:dyDescent="0.2">
      <c r="A15" s="25" t="s">
        <v>12</v>
      </c>
      <c r="B15" s="85" t="str">
        <f ca="1" xml:space="preserve"> IF(OFFSET('Metagenomic Sample Plates'!B$2, ROW()-1*Sheet3!$B15,COLUMN()-2*Sheet3!C$1)="", "", IF('Paste Sample Names Here'!$C$3="", "DILUTION?", OFFSET('Metagenomic Sample Plates'!B$2, ROW()-1*Sheet3!$B15,COLUMN()-2*Sheet3!C$1)  &amp; " (1:" &amp; 'Paste Sample Names Here'!$C$3 &amp; ")"))</f>
        <v>2AP11 (1:1000)</v>
      </c>
      <c r="C15" s="86" t="str">
        <f ca="1" xml:space="preserve"> IF(OFFSET('Metagenomic Sample Plates'!B$23, ROW(B16)-1*Sheet3!$B15,COLUMN(B16)-2*Sheet3!C$1)="", "", IF('Paste Sample Names Here'!$K$3="", "DILUTION?", OFFSET('Metagenomic Sample Plates'!B$23, ROW(B16)-1*Sheet3!$B15,COLUMN(B16)-2*Sheet3!C$1)  &amp;" (1:" &amp;'Paste Sample Names Here'!$K$3 &amp; ")"))</f>
        <v/>
      </c>
      <c r="D15" s="85" t="str">
        <f ca="1" xml:space="preserve"> IF(OFFSET('Metagenomic Sample Plates'!D$2, ROW()-1*Sheet3!$B15,COLUMN()-2*Sheet3!E$1)="", "", IF('Paste Sample Names Here'!$C$3="", "DILUTION?", OFFSET('Metagenomic Sample Plates'!D$2, ROW()-1*Sheet3!$B15,COLUMN()-2*Sheet3!E$1)  &amp; " (1:" &amp; 'Paste Sample Names Here'!$C$3 &amp; ")"))</f>
        <v>2AP19 (1:1000)</v>
      </c>
      <c r="E15" s="86" t="str">
        <f ca="1" xml:space="preserve"> IF(OFFSET('Metagenomic Sample Plates'!D$23, ROW(D16)-1*Sheet3!$B15,COLUMN(D16)-2*Sheet3!E$1)="", "", IF('Paste Sample Names Here'!$K$3="", "DILUTION?", OFFSET('Metagenomic Sample Plates'!D$23, ROW(D16)-1*Sheet3!$B15,COLUMN(D16)-2*Sheet3!E$1)  &amp;" (1:" &amp;'Paste Sample Names Here'!$K$3 &amp; ")"))</f>
        <v/>
      </c>
      <c r="F15" s="85" t="str">
        <f ca="1" xml:space="preserve"> IF(OFFSET('Metagenomic Sample Plates'!F$2, ROW()-1*Sheet3!$B15,COLUMN()-2*Sheet3!G$1)="", "", IF('Paste Sample Names Here'!$C$3="", "DILUTION?", OFFSET('Metagenomic Sample Plates'!F$2, ROW()-1*Sheet3!$B15,COLUMN()-2*Sheet3!G$1)  &amp; " (1:" &amp; 'Paste Sample Names Here'!$C$3 &amp; ")"))</f>
        <v>2AP27 (1:1000)</v>
      </c>
      <c r="G15" s="86" t="str">
        <f ca="1" xml:space="preserve"> IF(OFFSET('Metagenomic Sample Plates'!F$23, ROW(F16)-1*Sheet3!$B15,COLUMN(F16)-2*Sheet3!G$1)="", "", IF('Paste Sample Names Here'!$K$3="", "DILUTION?", OFFSET('Metagenomic Sample Plates'!F$23, ROW(F16)-1*Sheet3!$B15,COLUMN(F16)-2*Sheet3!G$1)  &amp;" (1:" &amp;'Paste Sample Names Here'!$K$3 &amp; ")"))</f>
        <v/>
      </c>
      <c r="H15" s="85" t="str">
        <f ca="1" xml:space="preserve"> IF(OFFSET('Metagenomic Sample Plates'!H$2, ROW()-1*Sheet3!$B15,COLUMN()-2*Sheet3!I$1)="", "", IF('Paste Sample Names Here'!$C$3="", "DILUTION?", OFFSET('Metagenomic Sample Plates'!H$2, ROW()-1*Sheet3!$B15,COLUMN()-2*Sheet3!I$1)  &amp; " (1:" &amp; 'Paste Sample Names Here'!$C$3 &amp; ")"))</f>
        <v>L0P9 (1:1000)</v>
      </c>
      <c r="I15" s="86" t="str">
        <f ca="1" xml:space="preserve"> IF(OFFSET('Metagenomic Sample Plates'!H$23, ROW(H16)-1*Sheet3!$B15,COLUMN(H16)-2*Sheet3!I$1)="", "", IF('Paste Sample Names Here'!$K$3="", "DILUTION?", OFFSET('Metagenomic Sample Plates'!H$23, ROW(H16)-1*Sheet3!$B15,COLUMN(H16)-2*Sheet3!I$1)  &amp;" (1:" &amp;'Paste Sample Names Here'!$K$3 &amp; ")"))</f>
        <v/>
      </c>
      <c r="J15" s="85" t="str">
        <f ca="1" xml:space="preserve"> IF(OFFSET('Metagenomic Sample Plates'!J$2, ROW()-1*Sheet3!$B15,COLUMN()-2*Sheet3!K$1)="", "", IF('Paste Sample Names Here'!$C$3="", "DILUTION?", OFFSET('Metagenomic Sample Plates'!J$2, ROW()-1*Sheet3!$B15,COLUMN()-2*Sheet3!K$1)  &amp; " (1:" &amp; 'Paste Sample Names Here'!$C$3 &amp; ")"))</f>
        <v>L0P17 (1:1000)</v>
      </c>
      <c r="K15" s="86" t="str">
        <f ca="1" xml:space="preserve"> IF(OFFSET('Metagenomic Sample Plates'!J$23, ROW(J16)-1*Sheet3!$B15,COLUMN(J16)-2*Sheet3!K$1)="", "", IF('Paste Sample Names Here'!$K$3="", "DILUTION?", OFFSET('Metagenomic Sample Plates'!J$23, ROW(J16)-1*Sheet3!$B15,COLUMN(J16)-2*Sheet3!K$1)  &amp;" (1:" &amp;'Paste Sample Names Here'!$K$3 &amp; ")"))</f>
        <v/>
      </c>
      <c r="L15" s="85" t="str">
        <f ca="1" xml:space="preserve"> IF(OFFSET('Metagenomic Sample Plates'!L$2, ROW()-1*Sheet3!$B15,COLUMN()-2*Sheet3!M$1)="", "", IF('Paste Sample Names Here'!$C$3="", "DILUTION?", OFFSET('Metagenomic Sample Plates'!L$2, ROW()-1*Sheet3!$B15,COLUMN()-2*Sheet3!M$1)  &amp; " (1:" &amp; 'Paste Sample Names Here'!$C$3 &amp; ")"))</f>
        <v>L0P25 (1:1000)</v>
      </c>
      <c r="M15" s="86" t="str">
        <f ca="1" xml:space="preserve"> IF(OFFSET('Metagenomic Sample Plates'!L$23, ROW(L16)-1*Sheet3!$B15,COLUMN(L16)-2*Sheet3!M$1)="", "", IF('Paste Sample Names Here'!$K$3="", "DILUTION?", OFFSET('Metagenomic Sample Plates'!L$23, ROW(L16)-1*Sheet3!$B15,COLUMN(L16)-2*Sheet3!M$1)  &amp;" (1:" &amp;'Paste Sample Names Here'!$K$3 &amp; ")"))</f>
        <v/>
      </c>
      <c r="N15" s="85" t="str">
        <f ca="1" xml:space="preserve"> IF(OFFSET('Metagenomic Sample Plates'!N$2, ROW()-1*Sheet3!$B15,COLUMN()-2*Sheet3!O$1)="", "", IF('Paste Sample Names Here'!$C$3="", "DILUTION?", OFFSET('Metagenomic Sample Plates'!N$2, ROW()-1*Sheet3!$B15,COLUMN()-2*Sheet3!O$1)  &amp; " (1:" &amp; 'Paste Sample Names Here'!$C$3 &amp; ")"))</f>
        <v/>
      </c>
      <c r="O15" s="86" t="str">
        <f ca="1" xml:space="preserve"> IF(OFFSET('Metagenomic Sample Plates'!N$23, ROW(N16)-1*Sheet3!$B15,COLUMN(N16)-2*Sheet3!O$1)="", "", IF('Paste Sample Names Here'!$K$3="", "DILUTION?", OFFSET('Metagenomic Sample Plates'!N$23, ROW(N16)-1*Sheet3!$B15,COLUMN(N16)-2*Sheet3!O$1)  &amp;" (1:" &amp;'Paste Sample Names Here'!$K$3 &amp; ")"))</f>
        <v/>
      </c>
      <c r="P15" s="85" t="str">
        <f ca="1" xml:space="preserve"> IF(OFFSET('Metagenomic Sample Plates'!P$2, ROW()-1*Sheet3!$B15,COLUMN()-2*Sheet3!Q$1)="", "", IF('Paste Sample Names Here'!$C$3="", "DILUTION?", OFFSET('Metagenomic Sample Plates'!P$2, ROW()-1*Sheet3!$B15,COLUMN()-2*Sheet3!Q$1)  &amp; " (1:" &amp; 'Paste Sample Names Here'!$C$3 &amp; ")"))</f>
        <v>BarLP11C (1:1000)</v>
      </c>
      <c r="Q15" s="86" t="str">
        <f ca="1" xml:space="preserve"> IF(OFFSET('Metagenomic Sample Plates'!P$23, ROW(P16)-1*Sheet3!$B15,COLUMN(P16)-2*Sheet3!Q$1)="", "", IF('Paste Sample Names Here'!$K$3="", "DILUTION?", OFFSET('Metagenomic Sample Plates'!P$23, ROW(P16)-1*Sheet3!$B15,COLUMN(P16)-2*Sheet3!Q$1)  &amp;" (1:" &amp;'Paste Sample Names Here'!$K$3 &amp; ")"))</f>
        <v/>
      </c>
      <c r="R15" s="85" t="str">
        <f ca="1" xml:space="preserve"> IF(OFFSET('Metagenomic Sample Plates'!R$2, ROW()-1*Sheet3!$B15,COLUMN()-2*Sheet3!S$1)="", "", IF('Paste Sample Names Here'!$C$3="", "DILUTION?", OFFSET('Metagenomic Sample Plates'!R$2, ROW()-1*Sheet3!$B15,COLUMN()-2*Sheet3!S$1)  &amp; " (1:" &amp; 'Paste Sample Names Here'!$C$3 &amp; ")"))</f>
        <v>BarLP5H (1:1000)</v>
      </c>
      <c r="S15" s="86" t="str">
        <f ca="1" xml:space="preserve"> IF(OFFSET('Metagenomic Sample Plates'!R$23, ROW(R16)-1*Sheet3!$B15,COLUMN(R16)-2*Sheet3!S$1)="", "", IF('Paste Sample Names Here'!$K$3="", "DILUTION?", OFFSET('Metagenomic Sample Plates'!R$23, ROW(R16)-1*Sheet3!$B15,COLUMN(R16)-2*Sheet3!S$1)  &amp;" (1:" &amp;'Paste Sample Names Here'!$K$3 &amp; ")"))</f>
        <v/>
      </c>
      <c r="T15" s="85" t="str">
        <f ca="1" xml:space="preserve"> IF(OFFSET('Metagenomic Sample Plates'!T$2, ROW()-1*Sheet3!$B15,COLUMN()-2*Sheet3!U$1)="", "", IF('Paste Sample Names Here'!$C$3="", "DILUTION?", OFFSET('Metagenomic Sample Plates'!T$2, ROW()-1*Sheet3!$B15,COLUMN()-2*Sheet3!U$1)  &amp; " (1:" &amp; 'Paste Sample Names Here'!$C$3 &amp; ")"))</f>
        <v>BarLP13H (1:1000)</v>
      </c>
      <c r="U15" s="86" t="str">
        <f ca="1" xml:space="preserve"> IF(OFFSET('Metagenomic Sample Plates'!T$23, ROW(T16)-1*Sheet3!$B15,COLUMN(T16)-2*Sheet3!U$1)="", "", IF('Paste Sample Names Here'!$K$3="", "DILUTION?", OFFSET('Metagenomic Sample Plates'!T$23, ROW(T16)-1*Sheet3!$B15,COLUMN(T16)-2*Sheet3!U$1)  &amp;" (1:" &amp;'Paste Sample Names Here'!$K$3 &amp; ")"))</f>
        <v/>
      </c>
      <c r="V15" s="85" t="str">
        <f ca="1" xml:space="preserve"> IF(OFFSET('Metagenomic Sample Plates'!V$2, ROW()-1*Sheet3!$B15,COLUMN()-2*Sheet3!W$1)="", "", IF('Paste Sample Names Here'!$C$3="", "DILUTION?", OFFSET('Metagenomic Sample Plates'!V$2, ROW()-1*Sheet3!$B15,COLUMN()-2*Sheet3!W$1)  &amp; " (1:" &amp; 'Paste Sample Names Here'!$C$3 &amp; ")"))</f>
        <v/>
      </c>
      <c r="W15" s="86" t="str">
        <f ca="1" xml:space="preserve"> IF(OFFSET('Metagenomic Sample Plates'!V$23, ROW(V16)-1*Sheet3!$B15,COLUMN(V16)-2*Sheet3!W$1)="", "", IF('Paste Sample Names Here'!$K$3="", "DILUTION?", OFFSET('Metagenomic Sample Plates'!V$23, ROW(V16)-1*Sheet3!$B15,COLUMN(V16)-2*Sheet3!W$1)  &amp;" (1:" &amp;'Paste Sample Names Here'!$K$3 &amp; ")"))</f>
        <v/>
      </c>
      <c r="X15" s="85" t="str">
        <f ca="1" xml:space="preserve"> IF(OFFSET('Metagenomic Sample Plates'!X$2, ROW()-1*Sheet3!$B15,COLUMN()-2*Sheet3!Y$1)="", "", IF('Paste Sample Names Here'!$C$3="", "DILUTION?", OFFSET('Metagenomic Sample Plates'!X$2, ROW()-1*Sheet3!$B15,COLUMN()-2*Sheet3!Y$1)  &amp; " (1:" &amp; 'Paste Sample Names Here'!$C$3 &amp; ")"))</f>
        <v/>
      </c>
      <c r="Y15" s="86" t="str">
        <f ca="1">IF(OFFSET('Metagenomic Sample Plates'!X$23, ROW(X16)-1*Sheet3!$B15,COLUMN(X16)-2*Sheet3!Y$1)="", "",OFFSET('Metagenomic Sample Plates'!X$23, ROW(X16)-1*Sheet3!$B15,COLUMN(X16)-2*Sheet3!Y$1))</f>
        <v/>
      </c>
    </row>
    <row r="16" spans="1:25" s="28" customFormat="1" ht="40" customHeight="1" x14ac:dyDescent="0.2">
      <c r="A16" s="25" t="s">
        <v>13</v>
      </c>
      <c r="B16" s="87" t="str">
        <f ca="1" xml:space="preserve"> IF(OFFSET('Metagenomic Sample Plates'!B$12, ROW(B16)-1*Sheet3!$B15,COLUMN(B16)-2*Sheet3!C$1)="", "", IF('Paste Sample Names Here'!$G$3="", "DILUTION?", OFFSET('Metagenomic Sample Plates'!B$12, ROW(B16)-1*Sheet3!$B15,COLUMN(B16)-2*Sheet3!C$1)  &amp;" (1:" &amp; 'Paste Sample Names Here'!$G$3 &amp; ")"))</f>
        <v/>
      </c>
      <c r="C16" s="104" t="str">
        <f ca="1" xml:space="preserve"> IF(OFFSET('Metagenomic Sample Plates'!B$34, ROW(B16)-1*Sheet3!$B15,COLUMN(B16)-2*Sheet3!C$1)="", "", IF('Paste Sample Names Here'!$O$3="", "DILUTION?",OFFSET('Metagenomic Sample Plates'!B$34, ROW(B16)-1*Sheet3!$B15,COLUMN(B16)-2*Sheet3!C$1)  &amp;" (1:" &amp; 'Paste Sample Names Here'!$O$3 &amp; ")"))</f>
        <v/>
      </c>
      <c r="D16" s="87" t="str">
        <f ca="1" xml:space="preserve"> IF(OFFSET('Metagenomic Sample Plates'!D$12, ROW(D16)-1*Sheet3!$B15,COLUMN(D16)-2*Sheet3!E$1)="", "", IF('Paste Sample Names Here'!$G$3="", "DILUTION?", OFFSET('Metagenomic Sample Plates'!D$12, ROW(D16)-1*Sheet3!$B15,COLUMN(D16)-2*Sheet3!E$1)  &amp;" (1:" &amp; 'Paste Sample Names Here'!$G$3 &amp; ")"))</f>
        <v/>
      </c>
      <c r="E16" s="104" t="str">
        <f ca="1" xml:space="preserve"> IF(OFFSET('Metagenomic Sample Plates'!D$34, ROW(D16)-1*Sheet3!$B15,COLUMN(D16)-2*Sheet3!E$1)="", "", IF('Paste Sample Names Here'!$O$3="", "DILUTION?",OFFSET('Metagenomic Sample Plates'!D$34, ROW(D16)-1*Sheet3!$B15,COLUMN(D16)-2*Sheet3!E$1)  &amp;" (1:" &amp; 'Paste Sample Names Here'!$O$3 &amp; ")"))</f>
        <v/>
      </c>
      <c r="F16" s="87" t="str">
        <f ca="1" xml:space="preserve"> IF(OFFSET('Metagenomic Sample Plates'!F$12, ROW(F16)-1*Sheet3!$B15,COLUMN(F16)-2*Sheet3!G$1)="", "", IF('Paste Sample Names Here'!$G$3="", "DILUTION?", OFFSET('Metagenomic Sample Plates'!F$12, ROW(F16)-1*Sheet3!$B15,COLUMN(F16)-2*Sheet3!G$1)  &amp;" (1:" &amp; 'Paste Sample Names Here'!$G$3 &amp; ")"))</f>
        <v/>
      </c>
      <c r="G16" s="104" t="str">
        <f ca="1" xml:space="preserve"> IF(OFFSET('Metagenomic Sample Plates'!F$34, ROW(F16)-1*Sheet3!$B15,COLUMN(F16)-2*Sheet3!G$1)="", "", IF('Paste Sample Names Here'!$O$3="", "DILUTION?",OFFSET('Metagenomic Sample Plates'!F$34, ROW(F16)-1*Sheet3!$B15,COLUMN(F16)-2*Sheet3!G$1)  &amp;" (1:" &amp; 'Paste Sample Names Here'!$O$3 &amp; ")"))</f>
        <v/>
      </c>
      <c r="H16" s="87" t="str">
        <f ca="1" xml:space="preserve"> IF(OFFSET('Metagenomic Sample Plates'!H$12, ROW(H16)-1*Sheet3!$B15,COLUMN(H16)-2*Sheet3!I$1)="", "", IF('Paste Sample Names Here'!$G$3="", "DILUTION?", OFFSET('Metagenomic Sample Plates'!H$12, ROW(H16)-1*Sheet3!$B15,COLUMN(H16)-2*Sheet3!I$1)  &amp;" (1:" &amp; 'Paste Sample Names Here'!$G$3 &amp; ")"))</f>
        <v/>
      </c>
      <c r="I16" s="104" t="str">
        <f ca="1" xml:space="preserve"> IF(OFFSET('Metagenomic Sample Plates'!H$34, ROW(H16)-1*Sheet3!$B15,COLUMN(H16)-2*Sheet3!I$1)="", "", IF('Paste Sample Names Here'!$O$3="", "DILUTION?",OFFSET('Metagenomic Sample Plates'!H$34, ROW(H16)-1*Sheet3!$B15,COLUMN(H16)-2*Sheet3!I$1)  &amp;" (1:" &amp; 'Paste Sample Names Here'!$O$3 &amp; ")"))</f>
        <v/>
      </c>
      <c r="J16" s="87" t="str">
        <f ca="1" xml:space="preserve"> IF(OFFSET('Metagenomic Sample Plates'!J$12, ROW(J16)-1*Sheet3!$B15,COLUMN(J16)-2*Sheet3!K$1)="", "", IF('Paste Sample Names Here'!$G$3="", "DILUTION?", OFFSET('Metagenomic Sample Plates'!J$12, ROW(J16)-1*Sheet3!$B15,COLUMN(J16)-2*Sheet3!K$1)  &amp;" (1:" &amp; 'Paste Sample Names Here'!$G$3 &amp; ")"))</f>
        <v/>
      </c>
      <c r="K16" s="104" t="str">
        <f ca="1" xml:space="preserve"> IF(OFFSET('Metagenomic Sample Plates'!J$34, ROW(J16)-1*Sheet3!$B15,COLUMN(J16)-2*Sheet3!K$1)="", "", IF('Paste Sample Names Here'!$O$3="", "DILUTION?",OFFSET('Metagenomic Sample Plates'!J$34, ROW(J16)-1*Sheet3!$B15,COLUMN(J16)-2*Sheet3!K$1)  &amp;" (1:" &amp; 'Paste Sample Names Here'!$O$3 &amp; ")"))</f>
        <v/>
      </c>
      <c r="L16" s="87" t="str">
        <f ca="1" xml:space="preserve"> IF(OFFSET('Metagenomic Sample Plates'!L$12, ROW(L16)-1*Sheet3!$B15,COLUMN(L16)-2*Sheet3!M$1)="", "", IF('Paste Sample Names Here'!$G$3="", "DILUTION?", OFFSET('Metagenomic Sample Plates'!L$12, ROW(L16)-1*Sheet3!$B15,COLUMN(L16)-2*Sheet3!M$1)  &amp;" (1:" &amp; 'Paste Sample Names Here'!$G$3 &amp; ")"))</f>
        <v/>
      </c>
      <c r="M16" s="104" t="str">
        <f ca="1" xml:space="preserve"> IF(OFFSET('Metagenomic Sample Plates'!L$34, ROW(L16)-1*Sheet3!$B15,COLUMN(L16)-2*Sheet3!M$1)="", "", IF('Paste Sample Names Here'!$O$3="", "DILUTION?",OFFSET('Metagenomic Sample Plates'!L$34, ROW(L16)-1*Sheet3!$B15,COLUMN(L16)-2*Sheet3!M$1)  &amp;" (1:" &amp; 'Paste Sample Names Here'!$O$3 &amp; ")"))</f>
        <v/>
      </c>
      <c r="N16" s="87" t="str">
        <f ca="1" xml:space="preserve"> IF(OFFSET('Metagenomic Sample Plates'!N$12, ROW(N16)-1*Sheet3!$B15,COLUMN(N16)-2*Sheet3!O$1)="", "", IF('Paste Sample Names Here'!$G$3="", "DILUTION?", OFFSET('Metagenomic Sample Plates'!N$12, ROW(N16)-1*Sheet3!$B15,COLUMN(N16)-2*Sheet3!O$1)  &amp;" (1:" &amp; 'Paste Sample Names Here'!$G$3 &amp; ")"))</f>
        <v/>
      </c>
      <c r="O16" s="104" t="str">
        <f ca="1" xml:space="preserve"> IF(OFFSET('Metagenomic Sample Plates'!N$34, ROW(N16)-1*Sheet3!$B15,COLUMN(N16)-2*Sheet3!O$1)="", "", IF('Paste Sample Names Here'!$O$3="", "DILUTION?",OFFSET('Metagenomic Sample Plates'!N$34, ROW(N16)-1*Sheet3!$B15,COLUMN(N16)-2*Sheet3!O$1)  &amp;" (1:" &amp; 'Paste Sample Names Here'!$O$3 &amp; ")"))</f>
        <v/>
      </c>
      <c r="P16" s="87" t="str">
        <f ca="1" xml:space="preserve"> IF(OFFSET('Metagenomic Sample Plates'!P$12, ROW(P16)-1*Sheet3!$B15,COLUMN(P16)-2*Sheet3!Q$1)="", "", IF('Paste Sample Names Here'!$G$3="", "DILUTION?", OFFSET('Metagenomic Sample Plates'!P$12, ROW(P16)-1*Sheet3!$B15,COLUMN(P16)-2*Sheet3!Q$1)  &amp;" (1:" &amp; 'Paste Sample Names Here'!$G$3 &amp; ")"))</f>
        <v/>
      </c>
      <c r="Q16" s="104" t="str">
        <f ca="1" xml:space="preserve"> IF(OFFSET('Metagenomic Sample Plates'!P$34, ROW(P16)-1*Sheet3!$B15,COLUMN(P16)-2*Sheet3!Q$1)="", "", IF('Paste Sample Names Here'!$O$3="", "DILUTION?",OFFSET('Metagenomic Sample Plates'!P$34, ROW(P16)-1*Sheet3!$B15,COLUMN(P16)-2*Sheet3!Q$1)  &amp;" (1:" &amp; 'Paste Sample Names Here'!$O$3 &amp; ")"))</f>
        <v/>
      </c>
      <c r="R16" s="87" t="str">
        <f ca="1" xml:space="preserve"> IF(OFFSET('Metagenomic Sample Plates'!R$12, ROW(R16)-1*Sheet3!$B15,COLUMN(R16)-2*Sheet3!S$1)="", "", IF('Paste Sample Names Here'!$G$3="", "DILUTION?", OFFSET('Metagenomic Sample Plates'!R$12, ROW(R16)-1*Sheet3!$B15,COLUMN(R16)-2*Sheet3!S$1)  &amp;" (1:" &amp; 'Paste Sample Names Here'!$G$3 &amp; ")"))</f>
        <v/>
      </c>
      <c r="S16" s="104" t="str">
        <f ca="1" xml:space="preserve"> IF(OFFSET('Metagenomic Sample Plates'!R$34, ROW(R16)-1*Sheet3!$B15,COLUMN(R16)-2*Sheet3!S$1)="", "", IF('Paste Sample Names Here'!$O$3="", "DILUTION?",OFFSET('Metagenomic Sample Plates'!R$34, ROW(R16)-1*Sheet3!$B15,COLUMN(R16)-2*Sheet3!S$1)  &amp;" (1:" &amp; 'Paste Sample Names Here'!$O$3 &amp; ")"))</f>
        <v/>
      </c>
      <c r="T16" s="87" t="str">
        <f ca="1" xml:space="preserve"> IF(OFFSET('Metagenomic Sample Plates'!T$12, ROW(T16)-1*Sheet3!$B15,COLUMN(T16)-2*Sheet3!U$1)="", "", IF('Paste Sample Names Here'!$G$3="", "DILUTION?", OFFSET('Metagenomic Sample Plates'!T$12, ROW(T16)-1*Sheet3!$B15,COLUMN(T16)-2*Sheet3!U$1)  &amp;" (1:" &amp; 'Paste Sample Names Here'!$G$3 &amp; ")"))</f>
        <v/>
      </c>
      <c r="U16" s="104" t="str">
        <f ca="1" xml:space="preserve"> IF(OFFSET('Metagenomic Sample Plates'!T$34, ROW(T16)-1*Sheet3!$B15,COLUMN(T16)-2*Sheet3!U$1)="", "", IF('Paste Sample Names Here'!$O$3="", "DILUTION?",OFFSET('Metagenomic Sample Plates'!T$34, ROW(T16)-1*Sheet3!$B15,COLUMN(T16)-2*Sheet3!U$1)  &amp;" (1:" &amp; 'Paste Sample Names Here'!$O$3 &amp; ")"))</f>
        <v/>
      </c>
      <c r="V16" s="87" t="str">
        <f ca="1" xml:space="preserve"> IF(OFFSET('Metagenomic Sample Plates'!V$12, ROW(V16)-1*Sheet3!$B15,COLUMN(V16)-2*Sheet3!W$1)="", "", IF('Paste Sample Names Here'!$G$3="", "DILUTION?", OFFSET('Metagenomic Sample Plates'!V$12, ROW(V16)-1*Sheet3!$B15,COLUMN(V16)-2*Sheet3!W$1)  &amp;" (1:" &amp; 'Paste Sample Names Here'!$G$3 &amp; ")"))</f>
        <v/>
      </c>
      <c r="W16" s="104" t="str">
        <f ca="1" xml:space="preserve">  IF(OFFSET('Metagenomic Sample Plates'!V$34, ROW(V16)-1*Sheet3!$B15,COLUMN(V16)-2*Sheet3!W$1)="NTC","NTC", IF(OFFSET('Metagenomic Sample Plates'!V$34, ROW(V16)-1*Sheet3!$B15,COLUMN(V16)-2*Sheet3!W$1)="", "", IF('Paste Sample Names Here'!$O$3="", "DILUTION?",OFFSET('Metagenomic Sample Plates'!V$34, ROW(V16)-1*Sheet3!$B15,COLUMN(V16)-2*Sheet3!W$1)  &amp;" (1:" &amp; 'Paste Sample Names Here'!$O$3 &amp; ")")))</f>
        <v>NTC</v>
      </c>
      <c r="X16" s="87" t="str">
        <f ca="1" xml:space="preserve"> IF(OFFSET('Metagenomic Sample Plates'!X$12, ROW(X16)-1*Sheet3!$B15,COLUMN(X16)-2*Sheet3!Y$1)="", "", IF('Paste Sample Names Here'!$G$3="", "DILUTION?", OFFSET('Metagenomic Sample Plates'!X$12, ROW(X16)-1*Sheet3!$B15,COLUMN(X16)-2*Sheet3!Y$1)  &amp;" (1:" &amp; 'Paste Sample Names Here'!$G$3 &amp; ")"))</f>
        <v/>
      </c>
      <c r="Y16" s="104" t="str">
        <f ca="1">IF(OFFSET('Metagenomic Sample Plates'!X$34, ROW(X16)-1*Sheet3!$B15,COLUMN(X16)-2*Sheet3!Y$1)="", "",OFFSET('Metagenomic Sample Plates'!X$34, ROW(X16)-1*Sheet3!$B15,COLUMN(X16)-2*Sheet3!Y$1))</f>
        <v>Standard 3</v>
      </c>
    </row>
    <row r="17" spans="1:25" s="28" customFormat="1" ht="40" customHeight="1" x14ac:dyDescent="0.2">
      <c r="A17" s="25" t="s">
        <v>14</v>
      </c>
      <c r="B17" s="85" t="str">
        <f ca="1" xml:space="preserve"> IF(OFFSET('Metagenomic Sample Plates'!B$2, ROW()-1*Sheet3!$B17,COLUMN()-2*Sheet3!C$1)="", "", IF('Paste Sample Names Here'!$C$3="", "DILUTION?", OFFSET('Metagenomic Sample Plates'!B$2, ROW()-1*Sheet3!$B17,COLUMN()-2*Sheet3!C$1)  &amp; " (1:" &amp; 'Paste Sample Names Here'!$C$3 &amp; ")"))</f>
        <v>2AP12 (1:1000)</v>
      </c>
      <c r="C17" s="86" t="str">
        <f ca="1" xml:space="preserve"> IF(OFFSET('Metagenomic Sample Plates'!B$23, ROW(B18)-1*Sheet3!$B17,COLUMN(B18)-2*Sheet3!C$1)="", "", IF('Paste Sample Names Here'!$K$3="", "DILUTION?", OFFSET('Metagenomic Sample Plates'!B$23, ROW(B18)-1*Sheet3!$B17,COLUMN(B18)-2*Sheet3!C$1)  &amp;" (1:" &amp;'Paste Sample Names Here'!$K$3 &amp; ")"))</f>
        <v/>
      </c>
      <c r="D17" s="85" t="str">
        <f ca="1" xml:space="preserve"> IF(OFFSET('Metagenomic Sample Plates'!D$2, ROW()-1*Sheet3!$B17,COLUMN()-2*Sheet3!E$1)="", "", IF('Paste Sample Names Here'!$C$3="", "DILUTION?", OFFSET('Metagenomic Sample Plates'!D$2, ROW()-1*Sheet3!$B17,COLUMN()-2*Sheet3!E$1)  &amp; " (1:" &amp; 'Paste Sample Names Here'!$C$3 &amp; ")"))</f>
        <v>2AP20 (1:1000)</v>
      </c>
      <c r="E17" s="86" t="str">
        <f ca="1" xml:space="preserve"> IF(OFFSET('Metagenomic Sample Plates'!D$23, ROW(D18)-1*Sheet3!$B17,COLUMN(D18)-2*Sheet3!E$1)="", "", IF('Paste Sample Names Here'!$K$3="", "DILUTION?", OFFSET('Metagenomic Sample Plates'!D$23, ROW(D18)-1*Sheet3!$B17,COLUMN(D18)-2*Sheet3!E$1)  &amp;" (1:" &amp;'Paste Sample Names Here'!$K$3 &amp; ")"))</f>
        <v/>
      </c>
      <c r="F17" s="85" t="str">
        <f ca="1" xml:space="preserve"> IF(OFFSET('Metagenomic Sample Plates'!F$2, ROW()-1*Sheet3!$B17,COLUMN()-2*Sheet3!G$1)="", "", IF('Paste Sample Names Here'!$C$3="", "DILUTION?", OFFSET('Metagenomic Sample Plates'!F$2, ROW()-1*Sheet3!$B17,COLUMN()-2*Sheet3!G$1)  &amp; " (1:" &amp; 'Paste Sample Names Here'!$C$3 &amp; ")"))</f>
        <v>2AP28 (1:1000)</v>
      </c>
      <c r="G17" s="86" t="str">
        <f ca="1" xml:space="preserve"> IF(OFFSET('Metagenomic Sample Plates'!F$23, ROW(F18)-1*Sheet3!$B17,COLUMN(F18)-2*Sheet3!G$1)="", "", IF('Paste Sample Names Here'!$K$3="", "DILUTION?", OFFSET('Metagenomic Sample Plates'!F$23, ROW(F18)-1*Sheet3!$B17,COLUMN(F18)-2*Sheet3!G$1)  &amp;" (1:" &amp;'Paste Sample Names Here'!$K$3 &amp; ")"))</f>
        <v/>
      </c>
      <c r="H17" s="85" t="str">
        <f ca="1" xml:space="preserve"> IF(OFFSET('Metagenomic Sample Plates'!H$2, ROW()-1*Sheet3!$B17,COLUMN()-2*Sheet3!I$1)="", "", IF('Paste Sample Names Here'!$C$3="", "DILUTION?", OFFSET('Metagenomic Sample Plates'!H$2, ROW()-1*Sheet3!$B17,COLUMN()-2*Sheet3!I$1)  &amp; " (1:" &amp; 'Paste Sample Names Here'!$C$3 &amp; ")"))</f>
        <v>L0P10 (1:1000)</v>
      </c>
      <c r="I17" s="86" t="str">
        <f ca="1" xml:space="preserve"> IF(OFFSET('Metagenomic Sample Plates'!H$23, ROW(H18)-1*Sheet3!$B17,COLUMN(H18)-2*Sheet3!I$1)="", "", IF('Paste Sample Names Here'!$K$3="", "DILUTION?", OFFSET('Metagenomic Sample Plates'!H$23, ROW(H18)-1*Sheet3!$B17,COLUMN(H18)-2*Sheet3!I$1)  &amp;" (1:" &amp;'Paste Sample Names Here'!$K$3 &amp; ")"))</f>
        <v/>
      </c>
      <c r="J17" s="85" t="str">
        <f ca="1" xml:space="preserve"> IF(OFFSET('Metagenomic Sample Plates'!J$2, ROW()-1*Sheet3!$B17,COLUMN()-2*Sheet3!K$1)="", "", IF('Paste Sample Names Here'!$C$3="", "DILUTION?", OFFSET('Metagenomic Sample Plates'!J$2, ROW()-1*Sheet3!$B17,COLUMN()-2*Sheet3!K$1)  &amp; " (1:" &amp; 'Paste Sample Names Here'!$C$3 &amp; ")"))</f>
        <v>L0P18 (1:1000)</v>
      </c>
      <c r="K17" s="86" t="str">
        <f ca="1" xml:space="preserve"> IF(OFFSET('Metagenomic Sample Plates'!J$23, ROW(J18)-1*Sheet3!$B17,COLUMN(J18)-2*Sheet3!K$1)="", "", IF('Paste Sample Names Here'!$K$3="", "DILUTION?", OFFSET('Metagenomic Sample Plates'!J$23, ROW(J18)-1*Sheet3!$B17,COLUMN(J18)-2*Sheet3!K$1)  &amp;" (1:" &amp;'Paste Sample Names Here'!$K$3 &amp; ")"))</f>
        <v/>
      </c>
      <c r="L17" s="85" t="str">
        <f ca="1" xml:space="preserve"> IF(OFFSET('Metagenomic Sample Plates'!L$2, ROW()-1*Sheet3!$B17,COLUMN()-2*Sheet3!M$1)="", "", IF('Paste Sample Names Here'!$C$3="", "DILUTION?", OFFSET('Metagenomic Sample Plates'!L$2, ROW()-1*Sheet3!$B17,COLUMN()-2*Sheet3!M$1)  &amp; " (1:" &amp; 'Paste Sample Names Here'!$C$3 &amp; ")"))</f>
        <v>L0P26 (1:1000)</v>
      </c>
      <c r="M17" s="86" t="str">
        <f ca="1" xml:space="preserve"> IF(OFFSET('Metagenomic Sample Plates'!L$23, ROW(L18)-1*Sheet3!$B17,COLUMN(L18)-2*Sheet3!M$1)="", "", IF('Paste Sample Names Here'!$K$3="", "DILUTION?", OFFSET('Metagenomic Sample Plates'!L$23, ROW(L18)-1*Sheet3!$B17,COLUMN(L18)-2*Sheet3!M$1)  &amp;" (1:" &amp;'Paste Sample Names Here'!$K$3 &amp; ")"))</f>
        <v/>
      </c>
      <c r="N17" s="85" t="str">
        <f ca="1" xml:space="preserve"> IF(OFFSET('Metagenomic Sample Plates'!N$2, ROW()-1*Sheet3!$B17,COLUMN()-2*Sheet3!O$1)="", "", IF('Paste Sample Names Here'!$C$3="", "DILUTION?", OFFSET('Metagenomic Sample Plates'!N$2, ROW()-1*Sheet3!$B17,COLUMN()-2*Sheet3!O$1)  &amp; " (1:" &amp; 'Paste Sample Names Here'!$C$3 &amp; ")"))</f>
        <v/>
      </c>
      <c r="O17" s="86" t="str">
        <f ca="1" xml:space="preserve"> IF(OFFSET('Metagenomic Sample Plates'!N$23, ROW(N18)-1*Sheet3!$B17,COLUMN(N18)-2*Sheet3!O$1)="", "", IF('Paste Sample Names Here'!$K$3="", "DILUTION?", OFFSET('Metagenomic Sample Plates'!N$23, ROW(N18)-1*Sheet3!$B17,COLUMN(N18)-2*Sheet3!O$1)  &amp;" (1:" &amp;'Paste Sample Names Here'!$K$3 &amp; ")"))</f>
        <v/>
      </c>
      <c r="P17" s="85" t="str">
        <f ca="1" xml:space="preserve"> IF(OFFSET('Metagenomic Sample Plates'!P$2, ROW()-1*Sheet3!$B17,COLUMN()-2*Sheet3!Q$1)="", "", IF('Paste Sample Names Here'!$C$3="", "DILUTION?", OFFSET('Metagenomic Sample Plates'!P$2, ROW()-1*Sheet3!$B17,COLUMN()-2*Sheet3!Q$1)  &amp; " (1:" &amp; 'Paste Sample Names Here'!$C$3 &amp; ")"))</f>
        <v>BarLP12C (1:1000)</v>
      </c>
      <c r="Q17" s="86" t="str">
        <f ca="1" xml:space="preserve"> IF(OFFSET('Metagenomic Sample Plates'!P$23, ROW(P18)-1*Sheet3!$B17,COLUMN(P18)-2*Sheet3!Q$1)="", "", IF('Paste Sample Names Here'!$K$3="", "DILUTION?", OFFSET('Metagenomic Sample Plates'!P$23, ROW(P18)-1*Sheet3!$B17,COLUMN(P18)-2*Sheet3!Q$1)  &amp;" (1:" &amp;'Paste Sample Names Here'!$K$3 &amp; ")"))</f>
        <v/>
      </c>
      <c r="R17" s="85" t="str">
        <f ca="1" xml:space="preserve"> IF(OFFSET('Metagenomic Sample Plates'!R$2, ROW()-1*Sheet3!$B17,COLUMN()-2*Sheet3!S$1)="", "", IF('Paste Sample Names Here'!$C$3="", "DILUTION?", OFFSET('Metagenomic Sample Plates'!R$2, ROW()-1*Sheet3!$B17,COLUMN()-2*Sheet3!S$1)  &amp; " (1:" &amp; 'Paste Sample Names Here'!$C$3 &amp; ")"))</f>
        <v>BarLP6H (1:1000)</v>
      </c>
      <c r="S17" s="86" t="str">
        <f ca="1" xml:space="preserve"> IF(OFFSET('Metagenomic Sample Plates'!R$23, ROW(R18)-1*Sheet3!$B17,COLUMN(R18)-2*Sheet3!S$1)="", "", IF('Paste Sample Names Here'!$K$3="", "DILUTION?", OFFSET('Metagenomic Sample Plates'!R$23, ROW(R18)-1*Sheet3!$B17,COLUMN(R18)-2*Sheet3!S$1)  &amp;" (1:" &amp;'Paste Sample Names Here'!$K$3 &amp; ")"))</f>
        <v/>
      </c>
      <c r="T17" s="85" t="str">
        <f ca="1" xml:space="preserve"> IF(OFFSET('Metagenomic Sample Plates'!T$2, ROW()-1*Sheet3!$B17,COLUMN()-2*Sheet3!U$1)="", "", IF('Paste Sample Names Here'!$C$3="", "DILUTION?", OFFSET('Metagenomic Sample Plates'!T$2, ROW()-1*Sheet3!$B17,COLUMN()-2*Sheet3!U$1)  &amp; " (1:" &amp; 'Paste Sample Names Here'!$C$3 &amp; ")"))</f>
        <v>BarLP14H (1:1000)</v>
      </c>
      <c r="U17" s="86" t="str">
        <f ca="1" xml:space="preserve"> IF(OFFSET('Metagenomic Sample Plates'!T$23, ROW(T18)-1*Sheet3!$B17,COLUMN(T18)-2*Sheet3!U$1)="", "", IF('Paste Sample Names Here'!$K$3="", "DILUTION?", OFFSET('Metagenomic Sample Plates'!T$23, ROW(T18)-1*Sheet3!$B17,COLUMN(T18)-2*Sheet3!U$1)  &amp;" (1:" &amp;'Paste Sample Names Here'!$K$3 &amp; ")"))</f>
        <v/>
      </c>
      <c r="V17" s="85" t="str">
        <f ca="1" xml:space="preserve"> IF(OFFSET('Metagenomic Sample Plates'!V$2, ROW()-1*Sheet3!$B17,COLUMN()-2*Sheet3!W$1)="", "", IF('Paste Sample Names Here'!$C$3="", "DILUTION?", OFFSET('Metagenomic Sample Plates'!V$2, ROW()-1*Sheet3!$B17,COLUMN()-2*Sheet3!W$1)  &amp; " (1:" &amp; 'Paste Sample Names Here'!$C$3 &amp; ")"))</f>
        <v/>
      </c>
      <c r="W17" s="86" t="str">
        <f ca="1" xml:space="preserve"> IF(OFFSET('Metagenomic Sample Plates'!V$23, ROW(V18)-1*Sheet3!$B17,COLUMN(V18)-2*Sheet3!W$1)="", "", IF('Paste Sample Names Here'!$K$3="", "DILUTION?", OFFSET('Metagenomic Sample Plates'!V$23, ROW(V18)-1*Sheet3!$B17,COLUMN(V18)-2*Sheet3!W$1)  &amp;" (1:" &amp;'Paste Sample Names Here'!$K$3 &amp; ")"))</f>
        <v/>
      </c>
      <c r="X17" s="85" t="str">
        <f ca="1" xml:space="preserve"> IF(OFFSET('Metagenomic Sample Plates'!X$2, ROW()-1*Sheet3!$B17,COLUMN()-2*Sheet3!Y$1)="", "", IF('Paste Sample Names Here'!$C$3="", "DILUTION?", OFFSET('Metagenomic Sample Plates'!X$2, ROW()-1*Sheet3!$B17,COLUMN()-2*Sheet3!Y$1)  &amp; " (1:" &amp; 'Paste Sample Names Here'!$C$3 &amp; ")"))</f>
        <v/>
      </c>
      <c r="Y17" s="86" t="str">
        <f ca="1">IF(OFFSET('Metagenomic Sample Plates'!X$23, ROW(X18)-1*Sheet3!$B17,COLUMN(X18)-2*Sheet3!Y$1)="", "",OFFSET('Metagenomic Sample Plates'!X$23, ROW(X18)-1*Sheet3!$B17,COLUMN(X18)-2*Sheet3!Y$1))</f>
        <v/>
      </c>
    </row>
    <row r="18" spans="1:25" s="28" customFormat="1" ht="40" customHeight="1" thickBot="1" x14ac:dyDescent="0.25">
      <c r="A18" s="30" t="s">
        <v>15</v>
      </c>
      <c r="B18" s="87" t="str">
        <f ca="1" xml:space="preserve"> IF(OFFSET('Metagenomic Sample Plates'!B$12, ROW(B18)-1*Sheet3!$B17,COLUMN(B18)-2*Sheet3!C$1)="", "", IF('Paste Sample Names Here'!$G$3="", "DILUTION?", OFFSET('Metagenomic Sample Plates'!B$12, ROW(B18)-1*Sheet3!$B17,COLUMN(B18)-2*Sheet3!C$1)  &amp;" (1:" &amp; 'Paste Sample Names Here'!$G$3 &amp; ")"))</f>
        <v/>
      </c>
      <c r="C18" s="104" t="str">
        <f ca="1" xml:space="preserve"> IF(OFFSET('Metagenomic Sample Plates'!B$34, ROW(B18)-1*Sheet3!$B17,COLUMN(B18)-2*Sheet3!C$1)="", "", IF('Paste Sample Names Here'!$O$3="", "DILUTION?",OFFSET('Metagenomic Sample Plates'!B$34, ROW(B18)-1*Sheet3!$B17,COLUMN(B18)-2*Sheet3!C$1)  &amp;" (1:" &amp; 'Paste Sample Names Here'!$O$3 &amp; ")"))</f>
        <v/>
      </c>
      <c r="D18" s="87" t="str">
        <f ca="1" xml:space="preserve"> IF(OFFSET('Metagenomic Sample Plates'!D$12, ROW(D18)-1*Sheet3!$B17,COLUMN(D18)-2*Sheet3!E$1)="", "", IF('Paste Sample Names Here'!$G$3="", "DILUTION?", OFFSET('Metagenomic Sample Plates'!D$12, ROW(D18)-1*Sheet3!$B17,COLUMN(D18)-2*Sheet3!E$1)  &amp;" (1:" &amp; 'Paste Sample Names Here'!$G$3 &amp; ")"))</f>
        <v/>
      </c>
      <c r="E18" s="104" t="str">
        <f ca="1" xml:space="preserve"> IF(OFFSET('Metagenomic Sample Plates'!D$34, ROW(D18)-1*Sheet3!$B17,COLUMN(D18)-2*Sheet3!E$1)="", "", IF('Paste Sample Names Here'!$O$3="", "DILUTION?",OFFSET('Metagenomic Sample Plates'!D$34, ROW(D18)-1*Sheet3!$B17,COLUMN(D18)-2*Sheet3!E$1)  &amp;" (1:" &amp; 'Paste Sample Names Here'!$O$3 &amp; ")"))</f>
        <v/>
      </c>
      <c r="F18" s="87" t="str">
        <f ca="1" xml:space="preserve"> IF(OFFSET('Metagenomic Sample Plates'!F$12, ROW(F18)-1*Sheet3!$B17,COLUMN(F18)-2*Sheet3!G$1)="", "", IF('Paste Sample Names Here'!$G$3="", "DILUTION?", OFFSET('Metagenomic Sample Plates'!F$12, ROW(F18)-1*Sheet3!$B17,COLUMN(F18)-2*Sheet3!G$1)  &amp;" (1:" &amp; 'Paste Sample Names Here'!$G$3 &amp; ")"))</f>
        <v/>
      </c>
      <c r="G18" s="104" t="str">
        <f ca="1" xml:space="preserve"> IF(OFFSET('Metagenomic Sample Plates'!F$34, ROW(F18)-1*Sheet3!$B17,COLUMN(F18)-2*Sheet3!G$1)="", "", IF('Paste Sample Names Here'!$O$3="", "DILUTION?",OFFSET('Metagenomic Sample Plates'!F$34, ROW(F18)-1*Sheet3!$B17,COLUMN(F18)-2*Sheet3!G$1)  &amp;" (1:" &amp; 'Paste Sample Names Here'!$O$3 &amp; ")"))</f>
        <v/>
      </c>
      <c r="H18" s="87" t="str">
        <f ca="1" xml:space="preserve"> IF(OFFSET('Metagenomic Sample Plates'!H$12, ROW(H18)-1*Sheet3!$B17,COLUMN(H18)-2*Sheet3!I$1)="", "", IF('Paste Sample Names Here'!$G$3="", "DILUTION?", OFFSET('Metagenomic Sample Plates'!H$12, ROW(H18)-1*Sheet3!$B17,COLUMN(H18)-2*Sheet3!I$1)  &amp;" (1:" &amp; 'Paste Sample Names Here'!$G$3 &amp; ")"))</f>
        <v/>
      </c>
      <c r="I18" s="104" t="str">
        <f ca="1" xml:space="preserve"> IF(OFFSET('Metagenomic Sample Plates'!H$34, ROW(H18)-1*Sheet3!$B17,COLUMN(H18)-2*Sheet3!I$1)="", "", IF('Paste Sample Names Here'!$O$3="", "DILUTION?",OFFSET('Metagenomic Sample Plates'!H$34, ROW(H18)-1*Sheet3!$B17,COLUMN(H18)-2*Sheet3!I$1)  &amp;" (1:" &amp; 'Paste Sample Names Here'!$O$3 &amp; ")"))</f>
        <v/>
      </c>
      <c r="J18" s="87" t="str">
        <f ca="1" xml:space="preserve"> IF(OFFSET('Metagenomic Sample Plates'!J$12, ROW(J18)-1*Sheet3!$B17,COLUMN(J18)-2*Sheet3!K$1)="", "", IF('Paste Sample Names Here'!$G$3="", "DILUTION?", OFFSET('Metagenomic Sample Plates'!J$12, ROW(J18)-1*Sheet3!$B17,COLUMN(J18)-2*Sheet3!K$1)  &amp;" (1:" &amp; 'Paste Sample Names Here'!$G$3 &amp; ")"))</f>
        <v/>
      </c>
      <c r="K18" s="104" t="str">
        <f ca="1" xml:space="preserve"> IF(OFFSET('Metagenomic Sample Plates'!J$34, ROW(J18)-1*Sheet3!$B17,COLUMN(J18)-2*Sheet3!K$1)="", "", IF('Paste Sample Names Here'!$O$3="", "DILUTION?",OFFSET('Metagenomic Sample Plates'!J$34, ROW(J18)-1*Sheet3!$B17,COLUMN(J18)-2*Sheet3!K$1)  &amp;" (1:" &amp; 'Paste Sample Names Here'!$O$3 &amp; ")"))</f>
        <v/>
      </c>
      <c r="L18" s="87" t="str">
        <f ca="1" xml:space="preserve"> IF(OFFSET('Metagenomic Sample Plates'!L$12, ROW(L18)-1*Sheet3!$B17,COLUMN(L18)-2*Sheet3!M$1)="", "", IF('Paste Sample Names Here'!$G$3="", "DILUTION?", OFFSET('Metagenomic Sample Plates'!L$12, ROW(L18)-1*Sheet3!$B17,COLUMN(L18)-2*Sheet3!M$1)  &amp;" (1:" &amp; 'Paste Sample Names Here'!$G$3 &amp; ")"))</f>
        <v/>
      </c>
      <c r="M18" s="104" t="str">
        <f ca="1" xml:space="preserve"> IF(OFFSET('Metagenomic Sample Plates'!L$34, ROW(L18)-1*Sheet3!$B17,COLUMN(L18)-2*Sheet3!M$1)="", "", IF('Paste Sample Names Here'!$O$3="", "DILUTION?",OFFSET('Metagenomic Sample Plates'!L$34, ROW(L18)-1*Sheet3!$B17,COLUMN(L18)-2*Sheet3!M$1)  &amp;" (1:" &amp; 'Paste Sample Names Here'!$O$3 &amp; ")"))</f>
        <v/>
      </c>
      <c r="N18" s="87" t="str">
        <f ca="1" xml:space="preserve"> IF(OFFSET('Metagenomic Sample Plates'!N$12, ROW(N18)-1*Sheet3!$B17,COLUMN(N18)-2*Sheet3!O$1)="", "", IF('Paste Sample Names Here'!$G$3="", "DILUTION?", OFFSET('Metagenomic Sample Plates'!N$12, ROW(N18)-1*Sheet3!$B17,COLUMN(N18)-2*Sheet3!O$1)  &amp;" (1:" &amp; 'Paste Sample Names Here'!$G$3 &amp; ")"))</f>
        <v/>
      </c>
      <c r="O18" s="104" t="str">
        <f ca="1" xml:space="preserve"> IF(OFFSET('Metagenomic Sample Plates'!N$34, ROW(N18)-1*Sheet3!$B17,COLUMN(N18)-2*Sheet3!O$1)="", "", IF('Paste Sample Names Here'!$O$3="", "DILUTION?",OFFSET('Metagenomic Sample Plates'!N$34, ROW(N18)-1*Sheet3!$B17,COLUMN(N18)-2*Sheet3!O$1)  &amp;" (1:" &amp; 'Paste Sample Names Here'!$O$3 &amp; ")"))</f>
        <v/>
      </c>
      <c r="P18" s="87" t="str">
        <f ca="1" xml:space="preserve"> IF(OFFSET('Metagenomic Sample Plates'!P$12, ROW(P18)-1*Sheet3!$B17,COLUMN(P18)-2*Sheet3!Q$1)="", "", IF('Paste Sample Names Here'!$G$3="", "DILUTION?", OFFSET('Metagenomic Sample Plates'!P$12, ROW(P18)-1*Sheet3!$B17,COLUMN(P18)-2*Sheet3!Q$1)  &amp;" (1:" &amp; 'Paste Sample Names Here'!$G$3 &amp; ")"))</f>
        <v/>
      </c>
      <c r="Q18" s="104" t="str">
        <f ca="1" xml:space="preserve"> IF(OFFSET('Metagenomic Sample Plates'!P$34, ROW(P18)-1*Sheet3!$B17,COLUMN(P18)-2*Sheet3!Q$1)="", "", IF('Paste Sample Names Here'!$O$3="", "DILUTION?",OFFSET('Metagenomic Sample Plates'!P$34, ROW(P18)-1*Sheet3!$B17,COLUMN(P18)-2*Sheet3!Q$1)  &amp;" (1:" &amp; 'Paste Sample Names Here'!$O$3 &amp; ")"))</f>
        <v/>
      </c>
      <c r="R18" s="87" t="str">
        <f ca="1" xml:space="preserve"> IF(OFFSET('Metagenomic Sample Plates'!R$12, ROW(R18)-1*Sheet3!$B17,COLUMN(R18)-2*Sheet3!S$1)="", "", IF('Paste Sample Names Here'!$G$3="", "DILUTION?", OFFSET('Metagenomic Sample Plates'!R$12, ROW(R18)-1*Sheet3!$B17,COLUMN(R18)-2*Sheet3!S$1)  &amp;" (1:" &amp; 'Paste Sample Names Here'!$G$3 &amp; ")"))</f>
        <v/>
      </c>
      <c r="S18" s="104" t="str">
        <f ca="1" xml:space="preserve"> IF(OFFSET('Metagenomic Sample Plates'!R$34, ROW(R18)-1*Sheet3!$B17,COLUMN(R18)-2*Sheet3!S$1)="", "", IF('Paste Sample Names Here'!$O$3="", "DILUTION?",OFFSET('Metagenomic Sample Plates'!R$34, ROW(R18)-1*Sheet3!$B17,COLUMN(R18)-2*Sheet3!S$1)  &amp;" (1:" &amp; 'Paste Sample Names Here'!$O$3 &amp; ")"))</f>
        <v/>
      </c>
      <c r="T18" s="87" t="str">
        <f ca="1" xml:space="preserve"> IF(OFFSET('Metagenomic Sample Plates'!T$12, ROW(T18)-1*Sheet3!$B17,COLUMN(T18)-2*Sheet3!U$1)="", "", IF('Paste Sample Names Here'!$G$3="", "DILUTION?", OFFSET('Metagenomic Sample Plates'!T$12, ROW(T18)-1*Sheet3!$B17,COLUMN(T18)-2*Sheet3!U$1)  &amp;" (1:" &amp; 'Paste Sample Names Here'!$G$3 &amp; ")"))</f>
        <v/>
      </c>
      <c r="U18" s="104" t="str">
        <f ca="1" xml:space="preserve"> IF(OFFSET('Metagenomic Sample Plates'!T$34, ROW(T18)-1*Sheet3!$B17,COLUMN(T18)-2*Sheet3!U$1)="", "", IF('Paste Sample Names Here'!$O$3="", "DILUTION?",OFFSET('Metagenomic Sample Plates'!T$34, ROW(T18)-1*Sheet3!$B17,COLUMN(T18)-2*Sheet3!U$1)  &amp;" (1:" &amp; 'Paste Sample Names Here'!$O$3 &amp; ")"))</f>
        <v/>
      </c>
      <c r="V18" s="87" t="str">
        <f ca="1" xml:space="preserve"> IF(OFFSET('Metagenomic Sample Plates'!V$12, ROW(V18)-1*Sheet3!$B17,COLUMN(V18)-2*Sheet3!W$1)="", "", IF('Paste Sample Names Here'!$G$3="", "DILUTION?", OFFSET('Metagenomic Sample Plates'!V$12, ROW(V18)-1*Sheet3!$B17,COLUMN(V18)-2*Sheet3!W$1)  &amp;" (1:" &amp; 'Paste Sample Names Here'!$G$3 &amp; ")"))</f>
        <v/>
      </c>
      <c r="W18" s="104" t="str">
        <f ca="1" xml:space="preserve">  IF(OFFSET('Metagenomic Sample Plates'!V$34, ROW(V18)-1*Sheet3!$B17,COLUMN(V18)-2*Sheet3!W$1)="NTC","NTC", IF(OFFSET('Metagenomic Sample Plates'!V$34, ROW(V18)-1*Sheet3!$B17,COLUMN(V18)-2*Sheet3!W$1)="", "", IF('Paste Sample Names Here'!$O$3="", "DILUTION?",OFFSET('Metagenomic Sample Plates'!V$34, ROW(V18)-1*Sheet3!$B17,COLUMN(V18)-2*Sheet3!W$1)  &amp;" (1:" &amp; 'Paste Sample Names Here'!$O$3 &amp; ")")))</f>
        <v>NTC</v>
      </c>
      <c r="X18" s="87" t="str">
        <f ca="1" xml:space="preserve"> IF(OFFSET('Metagenomic Sample Plates'!X$12, ROW(X18)-1*Sheet3!$B17,COLUMN(X18)-2*Sheet3!Y$1)="", "", IF('Paste Sample Names Here'!$G$3="", "DILUTION?", OFFSET('Metagenomic Sample Plates'!X$12, ROW(X18)-1*Sheet3!$B17,COLUMN(X18)-2*Sheet3!Y$1)  &amp;" (1:" &amp; 'Paste Sample Names Here'!$G$3 &amp; ")"))</f>
        <v/>
      </c>
      <c r="Y18" s="104" t="str">
        <f ca="1">IF(OFFSET('Metagenomic Sample Plates'!X$34, ROW(X18)-1*Sheet3!$B17,COLUMN(X18)-2*Sheet3!Y$1)="", "",OFFSET('Metagenomic Sample Plates'!X$34, ROW(X18)-1*Sheet3!$B17,COLUMN(X18)-2*Sheet3!Y$1))</f>
        <v>Standard 4</v>
      </c>
    </row>
    <row r="21" spans="1:25" ht="28" customHeight="1" x14ac:dyDescent="0.2">
      <c r="B21" s="151" t="s">
        <v>139</v>
      </c>
      <c r="C21" s="151"/>
    </row>
    <row r="22" spans="1:25" ht="28" customHeight="1" x14ac:dyDescent="0.2">
      <c r="B22" s="26"/>
      <c r="C22" s="131" t="str">
        <f>'Metagenomic Sample Plates'!A2</f>
        <v>JA20274 QA20139 (1:1000)</v>
      </c>
    </row>
    <row r="23" spans="1:25" ht="28" customHeight="1" x14ac:dyDescent="0.2">
      <c r="B23" s="29"/>
      <c r="C23" s="131" t="str">
        <f>'Metagenomic Sample Plates'!A13</f>
        <v/>
      </c>
    </row>
    <row r="24" spans="1:25" ht="28" customHeight="1" x14ac:dyDescent="0.2">
      <c r="B24" s="63"/>
      <c r="C24" s="131" t="str">
        <f>'Metagenomic Sample Plates'!A24</f>
        <v/>
      </c>
    </row>
    <row r="25" spans="1:25" ht="28" customHeight="1" x14ac:dyDescent="0.2">
      <c r="B25" s="103"/>
      <c r="C25" s="131" t="str">
        <f>'Metagenomic Sample Plates'!A35</f>
        <v/>
      </c>
    </row>
    <row r="26" spans="1:25" ht="28" customHeight="1" x14ac:dyDescent="0.2">
      <c r="B26" s="72"/>
      <c r="C26" s="27" t="s">
        <v>160</v>
      </c>
    </row>
  </sheetData>
  <mergeCells count="1">
    <mergeCell ref="B21:C21"/>
  </mergeCells>
  <conditionalFormatting sqref="B3:X18">
    <cfRule type="containsBlanks" dxfId="43" priority="3">
      <formula>LEN(TRIM(B3))=0</formula>
    </cfRule>
    <cfRule type="cellIs" dxfId="42" priority="4" operator="equal">
      <formula>"DILUTION?"</formula>
    </cfRule>
  </conditionalFormatting>
  <conditionalFormatting sqref="Y3:Y18">
    <cfRule type="containsBlanks" dxfId="41" priority="1">
      <formula>LEN(TRIM(Y3))=0</formula>
    </cfRule>
    <cfRule type="cellIs" dxfId="40" priority="2" operator="equal">
      <formula>"DILUTION?"</formula>
    </cfRule>
  </conditionalFormatting>
  <pageMargins left="0.7" right="0.7" top="0.75" bottom="0.75" header="0.3" footer="0.3"/>
  <pageSetup scale="31"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B1:Y159"/>
  <sheetViews>
    <sheetView workbookViewId="0">
      <selection activeCell="I20" sqref="I20:I115"/>
    </sheetView>
  </sheetViews>
  <sheetFormatPr baseColWidth="10" defaultColWidth="8.83203125" defaultRowHeight="15" x14ac:dyDescent="0.2"/>
  <sheetData>
    <row r="1" spans="2:25" x14ac:dyDescent="0.2">
      <c r="C1">
        <v>1</v>
      </c>
      <c r="E1">
        <v>2.5</v>
      </c>
      <c r="G1">
        <v>4</v>
      </c>
      <c r="I1">
        <v>5.5</v>
      </c>
      <c r="K1">
        <v>7</v>
      </c>
      <c r="M1">
        <v>8.5</v>
      </c>
      <c r="O1">
        <v>10</v>
      </c>
      <c r="Q1">
        <v>11.5</v>
      </c>
      <c r="S1">
        <v>13</v>
      </c>
      <c r="U1">
        <v>14.5</v>
      </c>
      <c r="W1">
        <v>16</v>
      </c>
      <c r="Y1">
        <v>17.5</v>
      </c>
    </row>
    <row r="3" spans="2:25" x14ac:dyDescent="0.2">
      <c r="B3">
        <v>1</v>
      </c>
    </row>
    <row r="5" spans="2:25" x14ac:dyDescent="0.2">
      <c r="B5">
        <v>2</v>
      </c>
    </row>
    <row r="7" spans="2:25" x14ac:dyDescent="0.2">
      <c r="B7">
        <v>3</v>
      </c>
    </row>
    <row r="9" spans="2:25" x14ac:dyDescent="0.2">
      <c r="B9">
        <v>4</v>
      </c>
    </row>
    <row r="11" spans="2:25" x14ac:dyDescent="0.2">
      <c r="B11">
        <v>5</v>
      </c>
    </row>
    <row r="13" spans="2:25" x14ac:dyDescent="0.2">
      <c r="B13">
        <v>6</v>
      </c>
    </row>
    <row r="15" spans="2:25" x14ac:dyDescent="0.2">
      <c r="B15">
        <v>7</v>
      </c>
    </row>
    <row r="17" spans="2:9" x14ac:dyDescent="0.2">
      <c r="B17">
        <v>8</v>
      </c>
    </row>
    <row r="20" spans="2:9" x14ac:dyDescent="0.2">
      <c r="B20">
        <v>1</v>
      </c>
      <c r="H20" t="s">
        <v>167</v>
      </c>
      <c r="I20">
        <v>1</v>
      </c>
    </row>
    <row r="21" spans="2:9" x14ac:dyDescent="0.2">
      <c r="B21">
        <v>2</v>
      </c>
      <c r="H21" t="s">
        <v>168</v>
      </c>
      <c r="I21">
        <v>2</v>
      </c>
    </row>
    <row r="22" spans="2:9" x14ac:dyDescent="0.2">
      <c r="B22">
        <v>3</v>
      </c>
      <c r="H22" t="s">
        <v>169</v>
      </c>
      <c r="I22">
        <v>3</v>
      </c>
    </row>
    <row r="23" spans="2:9" x14ac:dyDescent="0.2">
      <c r="B23">
        <v>4</v>
      </c>
      <c r="H23" t="s">
        <v>170</v>
      </c>
      <c r="I23">
        <v>4</v>
      </c>
    </row>
    <row r="24" spans="2:9" x14ac:dyDescent="0.2">
      <c r="B24">
        <v>5</v>
      </c>
      <c r="H24" t="s">
        <v>171</v>
      </c>
      <c r="I24">
        <v>5</v>
      </c>
    </row>
    <row r="25" spans="2:9" x14ac:dyDescent="0.2">
      <c r="B25">
        <v>6</v>
      </c>
      <c r="H25" t="s">
        <v>172</v>
      </c>
      <c r="I25">
        <v>6</v>
      </c>
    </row>
    <row r="26" spans="2:9" x14ac:dyDescent="0.2">
      <c r="B26">
        <v>7</v>
      </c>
      <c r="H26" t="s">
        <v>173</v>
      </c>
      <c r="I26">
        <v>7</v>
      </c>
    </row>
    <row r="27" spans="2:9" x14ac:dyDescent="0.2">
      <c r="B27">
        <v>8</v>
      </c>
      <c r="H27" t="s">
        <v>174</v>
      </c>
      <c r="I27">
        <v>8</v>
      </c>
    </row>
    <row r="28" spans="2:9" x14ac:dyDescent="0.2">
      <c r="B28">
        <v>9</v>
      </c>
      <c r="H28" t="s">
        <v>175</v>
      </c>
      <c r="I28">
        <v>9</v>
      </c>
    </row>
    <row r="29" spans="2:9" x14ac:dyDescent="0.2">
      <c r="B29">
        <v>10</v>
      </c>
      <c r="H29" t="s">
        <v>176</v>
      </c>
      <c r="I29">
        <v>10</v>
      </c>
    </row>
    <row r="30" spans="2:9" x14ac:dyDescent="0.2">
      <c r="B30">
        <v>11</v>
      </c>
      <c r="H30" t="s">
        <v>177</v>
      </c>
      <c r="I30">
        <v>11</v>
      </c>
    </row>
    <row r="31" spans="2:9" x14ac:dyDescent="0.2">
      <c r="B31">
        <v>12</v>
      </c>
      <c r="H31" t="s">
        <v>178</v>
      </c>
      <c r="I31">
        <v>12</v>
      </c>
    </row>
    <row r="32" spans="2:9" x14ac:dyDescent="0.2">
      <c r="B32">
        <v>13</v>
      </c>
      <c r="H32" t="s">
        <v>179</v>
      </c>
      <c r="I32">
        <v>13</v>
      </c>
    </row>
    <row r="33" spans="2:9" x14ac:dyDescent="0.2">
      <c r="B33">
        <v>14</v>
      </c>
      <c r="H33" t="s">
        <v>180</v>
      </c>
      <c r="I33">
        <v>14</v>
      </c>
    </row>
    <row r="34" spans="2:9" x14ac:dyDescent="0.2">
      <c r="B34">
        <v>15</v>
      </c>
      <c r="H34" t="s">
        <v>181</v>
      </c>
      <c r="I34">
        <v>15</v>
      </c>
    </row>
    <row r="35" spans="2:9" x14ac:dyDescent="0.2">
      <c r="B35">
        <v>16</v>
      </c>
      <c r="H35" t="s">
        <v>182</v>
      </c>
      <c r="I35">
        <v>16</v>
      </c>
    </row>
    <row r="36" spans="2:9" x14ac:dyDescent="0.2">
      <c r="B36">
        <v>17</v>
      </c>
      <c r="H36" t="s">
        <v>183</v>
      </c>
      <c r="I36">
        <v>17</v>
      </c>
    </row>
    <row r="37" spans="2:9" x14ac:dyDescent="0.2">
      <c r="B37">
        <v>18</v>
      </c>
      <c r="H37" t="s">
        <v>184</v>
      </c>
      <c r="I37">
        <v>18</v>
      </c>
    </row>
    <row r="38" spans="2:9" x14ac:dyDescent="0.2">
      <c r="B38">
        <v>19</v>
      </c>
      <c r="H38" t="s">
        <v>185</v>
      </c>
      <c r="I38">
        <v>19</v>
      </c>
    </row>
    <row r="39" spans="2:9" x14ac:dyDescent="0.2">
      <c r="B39">
        <v>20</v>
      </c>
      <c r="H39" t="s">
        <v>186</v>
      </c>
      <c r="I39">
        <v>20</v>
      </c>
    </row>
    <row r="40" spans="2:9" x14ac:dyDescent="0.2">
      <c r="B40">
        <v>21</v>
      </c>
      <c r="H40" t="s">
        <v>187</v>
      </c>
      <c r="I40">
        <v>21</v>
      </c>
    </row>
    <row r="41" spans="2:9" x14ac:dyDescent="0.2">
      <c r="B41">
        <v>22</v>
      </c>
      <c r="H41" t="s">
        <v>188</v>
      </c>
      <c r="I41">
        <v>22</v>
      </c>
    </row>
    <row r="42" spans="2:9" x14ac:dyDescent="0.2">
      <c r="B42">
        <v>23</v>
      </c>
      <c r="H42" t="s">
        <v>189</v>
      </c>
      <c r="I42">
        <v>23</v>
      </c>
    </row>
    <row r="43" spans="2:9" x14ac:dyDescent="0.2">
      <c r="B43">
        <v>24</v>
      </c>
      <c r="H43" t="s">
        <v>190</v>
      </c>
      <c r="I43">
        <v>24</v>
      </c>
    </row>
    <row r="44" spans="2:9" x14ac:dyDescent="0.2">
      <c r="H44" t="s">
        <v>191</v>
      </c>
      <c r="I44">
        <v>25</v>
      </c>
    </row>
    <row r="45" spans="2:9" x14ac:dyDescent="0.2">
      <c r="B45">
        <v>0</v>
      </c>
      <c r="H45" t="s">
        <v>192</v>
      </c>
      <c r="I45">
        <v>26</v>
      </c>
    </row>
    <row r="46" spans="2:9" x14ac:dyDescent="0.2">
      <c r="B46">
        <v>1</v>
      </c>
      <c r="H46" t="s">
        <v>193</v>
      </c>
      <c r="I46">
        <v>27</v>
      </c>
    </row>
    <row r="47" spans="2:9" x14ac:dyDescent="0.2">
      <c r="B47">
        <v>2</v>
      </c>
      <c r="H47" t="s">
        <v>194</v>
      </c>
      <c r="I47">
        <v>28</v>
      </c>
    </row>
    <row r="48" spans="2:9" x14ac:dyDescent="0.2">
      <c r="B48">
        <v>3</v>
      </c>
      <c r="H48" t="s">
        <v>195</v>
      </c>
      <c r="I48">
        <v>29</v>
      </c>
    </row>
    <row r="49" spans="2:9" x14ac:dyDescent="0.2">
      <c r="B49">
        <v>4</v>
      </c>
      <c r="H49" t="s">
        <v>196</v>
      </c>
      <c r="I49">
        <v>30</v>
      </c>
    </row>
    <row r="50" spans="2:9" x14ac:dyDescent="0.2">
      <c r="B50">
        <v>5</v>
      </c>
      <c r="H50" t="s">
        <v>197</v>
      </c>
      <c r="I50">
        <v>31</v>
      </c>
    </row>
    <row r="51" spans="2:9" x14ac:dyDescent="0.2">
      <c r="B51">
        <v>6</v>
      </c>
      <c r="H51" t="s">
        <v>198</v>
      </c>
      <c r="I51">
        <v>32</v>
      </c>
    </row>
    <row r="52" spans="2:9" x14ac:dyDescent="0.2">
      <c r="B52">
        <v>7</v>
      </c>
      <c r="H52" t="s">
        <v>199</v>
      </c>
      <c r="I52">
        <v>33</v>
      </c>
    </row>
    <row r="53" spans="2:9" x14ac:dyDescent="0.2">
      <c r="B53">
        <v>8</v>
      </c>
      <c r="H53" t="s">
        <v>200</v>
      </c>
      <c r="I53">
        <v>34</v>
      </c>
    </row>
    <row r="54" spans="2:9" x14ac:dyDescent="0.2">
      <c r="B54">
        <v>9</v>
      </c>
      <c r="H54" t="s">
        <v>201</v>
      </c>
      <c r="I54">
        <v>35</v>
      </c>
    </row>
    <row r="55" spans="2:9" x14ac:dyDescent="0.2">
      <c r="B55">
        <v>10</v>
      </c>
      <c r="H55" t="s">
        <v>202</v>
      </c>
      <c r="I55">
        <v>36</v>
      </c>
    </row>
    <row r="56" spans="2:9" x14ac:dyDescent="0.2">
      <c r="B56">
        <v>11</v>
      </c>
      <c r="H56" t="s">
        <v>203</v>
      </c>
      <c r="I56">
        <v>37</v>
      </c>
    </row>
    <row r="57" spans="2:9" x14ac:dyDescent="0.2">
      <c r="B57">
        <v>12</v>
      </c>
      <c r="H57" t="s">
        <v>204</v>
      </c>
      <c r="I57">
        <v>38</v>
      </c>
    </row>
    <row r="58" spans="2:9" x14ac:dyDescent="0.2">
      <c r="B58">
        <v>13</v>
      </c>
      <c r="H58" t="s">
        <v>205</v>
      </c>
      <c r="I58">
        <v>39</v>
      </c>
    </row>
    <row r="59" spans="2:9" x14ac:dyDescent="0.2">
      <c r="B59">
        <v>14</v>
      </c>
      <c r="H59" t="s">
        <v>206</v>
      </c>
      <c r="I59">
        <v>40</v>
      </c>
    </row>
    <row r="60" spans="2:9" x14ac:dyDescent="0.2">
      <c r="B60">
        <v>15</v>
      </c>
      <c r="H60" t="s">
        <v>207</v>
      </c>
      <c r="I60">
        <v>41</v>
      </c>
    </row>
    <row r="61" spans="2:9" x14ac:dyDescent="0.2">
      <c r="H61" t="s">
        <v>208</v>
      </c>
      <c r="I61">
        <v>42</v>
      </c>
    </row>
    <row r="62" spans="2:9" x14ac:dyDescent="0.2">
      <c r="H62" t="s">
        <v>209</v>
      </c>
      <c r="I62">
        <v>43</v>
      </c>
    </row>
    <row r="63" spans="2:9" x14ac:dyDescent="0.2">
      <c r="B63">
        <v>0</v>
      </c>
      <c r="H63" t="s">
        <v>210</v>
      </c>
      <c r="I63">
        <v>44</v>
      </c>
    </row>
    <row r="64" spans="2:9" x14ac:dyDescent="0.2">
      <c r="B64">
        <v>1</v>
      </c>
      <c r="H64" t="s">
        <v>211</v>
      </c>
      <c r="I64">
        <v>45</v>
      </c>
    </row>
    <row r="65" spans="2:9" x14ac:dyDescent="0.2">
      <c r="B65">
        <v>2</v>
      </c>
      <c r="H65" t="s">
        <v>212</v>
      </c>
      <c r="I65">
        <v>46</v>
      </c>
    </row>
    <row r="66" spans="2:9" x14ac:dyDescent="0.2">
      <c r="B66">
        <v>3</v>
      </c>
      <c r="H66" t="s">
        <v>213</v>
      </c>
      <c r="I66">
        <v>47</v>
      </c>
    </row>
    <row r="67" spans="2:9" x14ac:dyDescent="0.2">
      <c r="B67">
        <v>4</v>
      </c>
      <c r="H67" t="s">
        <v>214</v>
      </c>
      <c r="I67">
        <v>48</v>
      </c>
    </row>
    <row r="68" spans="2:9" x14ac:dyDescent="0.2">
      <c r="B68">
        <v>5</v>
      </c>
      <c r="H68" t="s">
        <v>215</v>
      </c>
      <c r="I68">
        <v>49</v>
      </c>
    </row>
    <row r="69" spans="2:9" x14ac:dyDescent="0.2">
      <c r="B69">
        <v>6</v>
      </c>
      <c r="H69" t="s">
        <v>216</v>
      </c>
      <c r="I69">
        <v>50</v>
      </c>
    </row>
    <row r="70" spans="2:9" x14ac:dyDescent="0.2">
      <c r="B70">
        <v>7</v>
      </c>
      <c r="H70" t="s">
        <v>217</v>
      </c>
      <c r="I70">
        <v>51</v>
      </c>
    </row>
    <row r="71" spans="2:9" x14ac:dyDescent="0.2">
      <c r="B71">
        <v>8</v>
      </c>
      <c r="H71" t="s">
        <v>218</v>
      </c>
      <c r="I71">
        <v>52</v>
      </c>
    </row>
    <row r="72" spans="2:9" x14ac:dyDescent="0.2">
      <c r="B72">
        <v>9</v>
      </c>
      <c r="H72" t="s">
        <v>219</v>
      </c>
      <c r="I72">
        <v>53</v>
      </c>
    </row>
    <row r="73" spans="2:9" x14ac:dyDescent="0.2">
      <c r="B73">
        <v>10</v>
      </c>
      <c r="H73" t="s">
        <v>220</v>
      </c>
      <c r="I73">
        <v>54</v>
      </c>
    </row>
    <row r="74" spans="2:9" x14ac:dyDescent="0.2">
      <c r="B74">
        <v>11</v>
      </c>
      <c r="H74" t="s">
        <v>221</v>
      </c>
      <c r="I74">
        <v>55</v>
      </c>
    </row>
    <row r="75" spans="2:9" x14ac:dyDescent="0.2">
      <c r="B75">
        <v>12</v>
      </c>
      <c r="H75" t="s">
        <v>222</v>
      </c>
      <c r="I75">
        <v>56</v>
      </c>
    </row>
    <row r="76" spans="2:9" x14ac:dyDescent="0.2">
      <c r="B76">
        <v>13</v>
      </c>
      <c r="H76" t="s">
        <v>223</v>
      </c>
      <c r="I76">
        <v>57</v>
      </c>
    </row>
    <row r="77" spans="2:9" x14ac:dyDescent="0.2">
      <c r="B77">
        <v>14</v>
      </c>
      <c r="H77" t="s">
        <v>224</v>
      </c>
      <c r="I77">
        <v>58</v>
      </c>
    </row>
    <row r="78" spans="2:9" x14ac:dyDescent="0.2">
      <c r="B78">
        <v>15</v>
      </c>
      <c r="H78" t="s">
        <v>225</v>
      </c>
      <c r="I78">
        <v>59</v>
      </c>
    </row>
    <row r="79" spans="2:9" x14ac:dyDescent="0.2">
      <c r="B79">
        <v>16</v>
      </c>
      <c r="H79" t="s">
        <v>226</v>
      </c>
      <c r="I79">
        <v>60</v>
      </c>
    </row>
    <row r="80" spans="2:9" x14ac:dyDescent="0.2">
      <c r="B80">
        <v>17</v>
      </c>
      <c r="H80" t="s">
        <v>227</v>
      </c>
      <c r="I80">
        <v>61</v>
      </c>
    </row>
    <row r="81" spans="2:9" x14ac:dyDescent="0.2">
      <c r="B81">
        <v>18</v>
      </c>
      <c r="H81" t="s">
        <v>228</v>
      </c>
      <c r="I81">
        <v>62</v>
      </c>
    </row>
    <row r="82" spans="2:9" x14ac:dyDescent="0.2">
      <c r="B82">
        <v>19</v>
      </c>
      <c r="H82" t="s">
        <v>229</v>
      </c>
      <c r="I82">
        <v>63</v>
      </c>
    </row>
    <row r="83" spans="2:9" x14ac:dyDescent="0.2">
      <c r="B83">
        <v>20</v>
      </c>
      <c r="H83" t="s">
        <v>230</v>
      </c>
      <c r="I83">
        <v>64</v>
      </c>
    </row>
    <row r="84" spans="2:9" x14ac:dyDescent="0.2">
      <c r="B84">
        <v>21</v>
      </c>
      <c r="H84" t="s">
        <v>231</v>
      </c>
      <c r="I84">
        <v>65</v>
      </c>
    </row>
    <row r="85" spans="2:9" x14ac:dyDescent="0.2">
      <c r="B85">
        <v>22</v>
      </c>
      <c r="H85" t="s">
        <v>232</v>
      </c>
      <c r="I85">
        <v>66</v>
      </c>
    </row>
    <row r="86" spans="2:9" x14ac:dyDescent="0.2">
      <c r="B86">
        <v>23</v>
      </c>
      <c r="H86" t="s">
        <v>233</v>
      </c>
      <c r="I86">
        <v>67</v>
      </c>
    </row>
    <row r="87" spans="2:9" x14ac:dyDescent="0.2">
      <c r="B87">
        <v>24</v>
      </c>
      <c r="H87" t="s">
        <v>234</v>
      </c>
      <c r="I87">
        <v>68</v>
      </c>
    </row>
    <row r="88" spans="2:9" x14ac:dyDescent="0.2">
      <c r="B88">
        <v>25</v>
      </c>
      <c r="H88" t="s">
        <v>235</v>
      </c>
      <c r="I88">
        <v>69</v>
      </c>
    </row>
    <row r="89" spans="2:9" x14ac:dyDescent="0.2">
      <c r="B89">
        <v>26</v>
      </c>
      <c r="H89" t="s">
        <v>236</v>
      </c>
      <c r="I89">
        <v>70</v>
      </c>
    </row>
    <row r="90" spans="2:9" x14ac:dyDescent="0.2">
      <c r="B90">
        <v>27</v>
      </c>
      <c r="H90" t="s">
        <v>237</v>
      </c>
      <c r="I90">
        <v>71</v>
      </c>
    </row>
    <row r="91" spans="2:9" x14ac:dyDescent="0.2">
      <c r="B91">
        <v>28</v>
      </c>
      <c r="H91" t="s">
        <v>238</v>
      </c>
      <c r="I91">
        <v>72</v>
      </c>
    </row>
    <row r="92" spans="2:9" x14ac:dyDescent="0.2">
      <c r="B92">
        <v>29</v>
      </c>
      <c r="H92" t="s">
        <v>115</v>
      </c>
      <c r="I92">
        <v>73</v>
      </c>
    </row>
    <row r="93" spans="2:9" x14ac:dyDescent="0.2">
      <c r="B93">
        <v>30</v>
      </c>
      <c r="H93" t="s">
        <v>116</v>
      </c>
      <c r="I93">
        <v>74</v>
      </c>
    </row>
    <row r="94" spans="2:9" x14ac:dyDescent="0.2">
      <c r="B94">
        <v>31</v>
      </c>
      <c r="H94" t="s">
        <v>117</v>
      </c>
      <c r="I94">
        <v>75</v>
      </c>
    </row>
    <row r="95" spans="2:9" x14ac:dyDescent="0.2">
      <c r="B95">
        <v>32</v>
      </c>
      <c r="H95" t="s">
        <v>118</v>
      </c>
      <c r="I95">
        <v>76</v>
      </c>
    </row>
    <row r="96" spans="2:9" x14ac:dyDescent="0.2">
      <c r="B96">
        <v>33</v>
      </c>
      <c r="H96" t="s">
        <v>119</v>
      </c>
      <c r="I96">
        <v>77</v>
      </c>
    </row>
    <row r="97" spans="2:9" x14ac:dyDescent="0.2">
      <c r="B97">
        <v>34</v>
      </c>
      <c r="H97" t="s">
        <v>120</v>
      </c>
      <c r="I97">
        <v>78</v>
      </c>
    </row>
    <row r="98" spans="2:9" x14ac:dyDescent="0.2">
      <c r="B98">
        <v>35</v>
      </c>
      <c r="H98" t="s">
        <v>121</v>
      </c>
      <c r="I98">
        <v>79</v>
      </c>
    </row>
    <row r="99" spans="2:9" x14ac:dyDescent="0.2">
      <c r="B99">
        <v>36</v>
      </c>
      <c r="H99" t="s">
        <v>122</v>
      </c>
      <c r="I99">
        <v>80</v>
      </c>
    </row>
    <row r="100" spans="2:9" x14ac:dyDescent="0.2">
      <c r="B100">
        <v>37</v>
      </c>
      <c r="H100" t="s">
        <v>123</v>
      </c>
      <c r="I100">
        <v>81</v>
      </c>
    </row>
    <row r="101" spans="2:9" x14ac:dyDescent="0.2">
      <c r="B101">
        <v>38</v>
      </c>
      <c r="H101" t="s">
        <v>124</v>
      </c>
      <c r="I101">
        <v>82</v>
      </c>
    </row>
    <row r="102" spans="2:9" x14ac:dyDescent="0.2">
      <c r="B102">
        <v>39</v>
      </c>
      <c r="H102" t="s">
        <v>125</v>
      </c>
      <c r="I102">
        <v>83</v>
      </c>
    </row>
    <row r="103" spans="2:9" x14ac:dyDescent="0.2">
      <c r="B103">
        <v>40</v>
      </c>
      <c r="H103" t="s">
        <v>126</v>
      </c>
      <c r="I103">
        <v>84</v>
      </c>
    </row>
    <row r="104" spans="2:9" x14ac:dyDescent="0.2">
      <c r="B104">
        <v>41</v>
      </c>
      <c r="H104" t="s">
        <v>127</v>
      </c>
      <c r="I104">
        <v>85</v>
      </c>
    </row>
    <row r="105" spans="2:9" x14ac:dyDescent="0.2">
      <c r="B105">
        <v>42</v>
      </c>
      <c r="H105" t="s">
        <v>128</v>
      </c>
      <c r="I105">
        <v>86</v>
      </c>
    </row>
    <row r="106" spans="2:9" x14ac:dyDescent="0.2">
      <c r="B106">
        <v>43</v>
      </c>
      <c r="H106" t="s">
        <v>129</v>
      </c>
      <c r="I106">
        <v>87</v>
      </c>
    </row>
    <row r="107" spans="2:9" x14ac:dyDescent="0.2">
      <c r="B107">
        <v>44</v>
      </c>
      <c r="H107" t="s">
        <v>130</v>
      </c>
      <c r="I107">
        <v>88</v>
      </c>
    </row>
    <row r="108" spans="2:9" x14ac:dyDescent="0.2">
      <c r="B108">
        <v>45</v>
      </c>
      <c r="H108" t="s">
        <v>131</v>
      </c>
      <c r="I108">
        <v>89</v>
      </c>
    </row>
    <row r="109" spans="2:9" x14ac:dyDescent="0.2">
      <c r="B109">
        <v>46</v>
      </c>
      <c r="H109" t="s">
        <v>132</v>
      </c>
      <c r="I109">
        <v>90</v>
      </c>
    </row>
    <row r="110" spans="2:9" x14ac:dyDescent="0.2">
      <c r="B110">
        <v>47</v>
      </c>
      <c r="H110" t="s">
        <v>133</v>
      </c>
      <c r="I110">
        <v>91</v>
      </c>
    </row>
    <row r="111" spans="2:9" x14ac:dyDescent="0.2">
      <c r="B111">
        <v>48</v>
      </c>
      <c r="H111" t="s">
        <v>134</v>
      </c>
      <c r="I111">
        <v>92</v>
      </c>
    </row>
    <row r="112" spans="2:9" x14ac:dyDescent="0.2">
      <c r="B112">
        <v>49</v>
      </c>
      <c r="H112" t="s">
        <v>135</v>
      </c>
      <c r="I112">
        <v>93</v>
      </c>
    </row>
    <row r="113" spans="2:9" x14ac:dyDescent="0.2">
      <c r="B113">
        <v>50</v>
      </c>
      <c r="H113" t="s">
        <v>136</v>
      </c>
      <c r="I113">
        <v>94</v>
      </c>
    </row>
    <row r="114" spans="2:9" x14ac:dyDescent="0.2">
      <c r="B114">
        <v>51</v>
      </c>
      <c r="H114" t="s">
        <v>137</v>
      </c>
      <c r="I114">
        <v>95</v>
      </c>
    </row>
    <row r="115" spans="2:9" x14ac:dyDescent="0.2">
      <c r="B115">
        <v>52</v>
      </c>
      <c r="H115" t="s">
        <v>138</v>
      </c>
      <c r="I115">
        <v>96</v>
      </c>
    </row>
    <row r="116" spans="2:9" x14ac:dyDescent="0.2">
      <c r="B116">
        <v>53</v>
      </c>
    </row>
    <row r="117" spans="2:9" x14ac:dyDescent="0.2">
      <c r="B117">
        <v>54</v>
      </c>
    </row>
    <row r="118" spans="2:9" x14ac:dyDescent="0.2">
      <c r="B118">
        <v>55</v>
      </c>
    </row>
    <row r="119" spans="2:9" x14ac:dyDescent="0.2">
      <c r="B119">
        <v>56</v>
      </c>
    </row>
    <row r="120" spans="2:9" x14ac:dyDescent="0.2">
      <c r="B120">
        <v>57</v>
      </c>
    </row>
    <row r="121" spans="2:9" x14ac:dyDescent="0.2">
      <c r="B121">
        <v>58</v>
      </c>
    </row>
    <row r="122" spans="2:9" x14ac:dyDescent="0.2">
      <c r="B122">
        <v>59</v>
      </c>
    </row>
    <row r="123" spans="2:9" x14ac:dyDescent="0.2">
      <c r="B123">
        <v>60</v>
      </c>
    </row>
    <row r="124" spans="2:9" x14ac:dyDescent="0.2">
      <c r="B124">
        <v>61</v>
      </c>
    </row>
    <row r="125" spans="2:9" x14ac:dyDescent="0.2">
      <c r="B125">
        <v>62</v>
      </c>
    </row>
    <row r="126" spans="2:9" x14ac:dyDescent="0.2">
      <c r="B126">
        <v>63</v>
      </c>
    </row>
    <row r="127" spans="2:9" x14ac:dyDescent="0.2">
      <c r="B127">
        <v>64</v>
      </c>
    </row>
    <row r="128" spans="2:9" x14ac:dyDescent="0.2">
      <c r="B128">
        <v>65</v>
      </c>
    </row>
    <row r="129" spans="2:2" x14ac:dyDescent="0.2">
      <c r="B129">
        <v>66</v>
      </c>
    </row>
    <row r="130" spans="2:2" x14ac:dyDescent="0.2">
      <c r="B130">
        <v>67</v>
      </c>
    </row>
    <row r="131" spans="2:2" x14ac:dyDescent="0.2">
      <c r="B131">
        <v>68</v>
      </c>
    </row>
    <row r="132" spans="2:2" x14ac:dyDescent="0.2">
      <c r="B132">
        <v>69</v>
      </c>
    </row>
    <row r="133" spans="2:2" x14ac:dyDescent="0.2">
      <c r="B133">
        <v>70</v>
      </c>
    </row>
    <row r="134" spans="2:2" x14ac:dyDescent="0.2">
      <c r="B134">
        <v>71</v>
      </c>
    </row>
    <row r="135" spans="2:2" x14ac:dyDescent="0.2">
      <c r="B135">
        <v>72</v>
      </c>
    </row>
    <row r="136" spans="2:2" x14ac:dyDescent="0.2">
      <c r="B136">
        <v>73</v>
      </c>
    </row>
    <row r="137" spans="2:2" x14ac:dyDescent="0.2">
      <c r="B137">
        <v>74</v>
      </c>
    </row>
    <row r="138" spans="2:2" x14ac:dyDescent="0.2">
      <c r="B138">
        <v>75</v>
      </c>
    </row>
    <row r="139" spans="2:2" x14ac:dyDescent="0.2">
      <c r="B139">
        <v>76</v>
      </c>
    </row>
    <row r="140" spans="2:2" x14ac:dyDescent="0.2">
      <c r="B140">
        <v>77</v>
      </c>
    </row>
    <row r="141" spans="2:2" x14ac:dyDescent="0.2">
      <c r="B141">
        <v>78</v>
      </c>
    </row>
    <row r="142" spans="2:2" x14ac:dyDescent="0.2">
      <c r="B142">
        <v>79</v>
      </c>
    </row>
    <row r="143" spans="2:2" x14ac:dyDescent="0.2">
      <c r="B143">
        <v>80</v>
      </c>
    </row>
    <row r="144" spans="2:2" x14ac:dyDescent="0.2">
      <c r="B144">
        <v>81</v>
      </c>
    </row>
    <row r="145" spans="2:2" x14ac:dyDescent="0.2">
      <c r="B145">
        <v>82</v>
      </c>
    </row>
    <row r="146" spans="2:2" x14ac:dyDescent="0.2">
      <c r="B146">
        <v>83</v>
      </c>
    </row>
    <row r="147" spans="2:2" x14ac:dyDescent="0.2">
      <c r="B147">
        <v>84</v>
      </c>
    </row>
    <row r="148" spans="2:2" x14ac:dyDescent="0.2">
      <c r="B148">
        <v>85</v>
      </c>
    </row>
    <row r="149" spans="2:2" x14ac:dyDescent="0.2">
      <c r="B149">
        <v>86</v>
      </c>
    </row>
    <row r="150" spans="2:2" x14ac:dyDescent="0.2">
      <c r="B150">
        <v>87</v>
      </c>
    </row>
    <row r="151" spans="2:2" x14ac:dyDescent="0.2">
      <c r="B151">
        <v>88</v>
      </c>
    </row>
    <row r="152" spans="2:2" x14ac:dyDescent="0.2">
      <c r="B152">
        <v>89</v>
      </c>
    </row>
    <row r="153" spans="2:2" x14ac:dyDescent="0.2">
      <c r="B153">
        <v>90</v>
      </c>
    </row>
    <row r="154" spans="2:2" x14ac:dyDescent="0.2">
      <c r="B154">
        <v>91</v>
      </c>
    </row>
    <row r="155" spans="2:2" x14ac:dyDescent="0.2">
      <c r="B155">
        <v>92</v>
      </c>
    </row>
    <row r="156" spans="2:2" x14ac:dyDescent="0.2">
      <c r="B156">
        <v>93</v>
      </c>
    </row>
    <row r="157" spans="2:2" x14ac:dyDescent="0.2">
      <c r="B157">
        <v>94</v>
      </c>
    </row>
    <row r="158" spans="2:2" x14ac:dyDescent="0.2">
      <c r="B158">
        <v>95</v>
      </c>
    </row>
    <row r="159" spans="2:2" x14ac:dyDescent="0.2">
      <c r="B159">
        <v>96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O393"/>
  <sheetViews>
    <sheetView topLeftCell="A299" workbookViewId="0">
      <selection activeCell="H10" sqref="H10"/>
    </sheetView>
  </sheetViews>
  <sheetFormatPr baseColWidth="10" defaultColWidth="8.83203125" defaultRowHeight="15" x14ac:dyDescent="0.2"/>
  <cols>
    <col min="1" max="2" width="8.83203125" style="51"/>
    <col min="3" max="3" width="15.6640625" style="51" bestFit="1" customWidth="1"/>
    <col min="6" max="6" width="15.6640625" style="51" bestFit="1" customWidth="1"/>
  </cols>
  <sheetData>
    <row r="1" spans="1:15" x14ac:dyDescent="0.2">
      <c r="A1" s="52" t="s">
        <v>16</v>
      </c>
    </row>
    <row r="3" spans="1:15" ht="30" x14ac:dyDescent="0.3">
      <c r="A3" s="53" t="s">
        <v>17</v>
      </c>
      <c r="B3" s="52"/>
      <c r="C3" s="52"/>
      <c r="D3" s="52"/>
      <c r="E3" s="52"/>
      <c r="G3" s="52"/>
      <c r="H3" s="52"/>
    </row>
    <row r="8" spans="1:15" ht="16" thickBot="1" x14ac:dyDescent="0.25"/>
    <row r="9" spans="1:15" ht="16" thickBot="1" x14ac:dyDescent="0.25">
      <c r="A9" s="152" t="s">
        <v>41</v>
      </c>
      <c r="B9" s="152"/>
      <c r="C9" s="54" t="s">
        <v>34</v>
      </c>
      <c r="D9" s="54"/>
      <c r="E9" s="54"/>
      <c r="F9" s="54" t="s">
        <v>152</v>
      </c>
    </row>
    <row r="10" spans="1:15" x14ac:dyDescent="0.2">
      <c r="A10" s="20" t="s">
        <v>0</v>
      </c>
      <c r="B10" s="20">
        <v>1</v>
      </c>
      <c r="C10" s="20" t="str">
        <f ca="1">IF((OFFSET('384 Well qPCR Layout'!A$3, 0, Sheet3!B20))="", "",  OFFSET('384 Well qPCR Layout'!A$3, 0, Sheet3!B20))</f>
        <v>2AP5 (1:1000)</v>
      </c>
      <c r="D10" s="21"/>
      <c r="E10" s="21"/>
      <c r="F10" s="55">
        <v>7.7849998474121094</v>
      </c>
      <c r="O10" s="5"/>
    </row>
    <row r="11" spans="1:15" x14ac:dyDescent="0.2">
      <c r="A11" s="2" t="str">
        <f>A10</f>
        <v>A</v>
      </c>
      <c r="B11" s="2">
        <v>2</v>
      </c>
      <c r="C11" s="2" t="str">
        <f ca="1">IF((OFFSET('384 Well qPCR Layout'!A$3, 0, Sheet3!B21))="", "",  OFFSET('384 Well qPCR Layout'!A$3, 0, Sheet3!B21))</f>
        <v/>
      </c>
      <c r="D11" s="22"/>
      <c r="E11" s="22"/>
      <c r="F11" s="56" t="s">
        <v>252</v>
      </c>
      <c r="L11" s="18"/>
      <c r="O11" s="5"/>
    </row>
    <row r="12" spans="1:15" x14ac:dyDescent="0.2">
      <c r="A12" s="2" t="str">
        <f t="shared" ref="A12:A33" si="0">A11</f>
        <v>A</v>
      </c>
      <c r="B12" s="2">
        <v>3</v>
      </c>
      <c r="C12" s="2" t="str">
        <f ca="1">IF((OFFSET('384 Well qPCR Layout'!A$3, 0, Sheet3!B22))="", "",  OFFSET('384 Well qPCR Layout'!A$3, 0, Sheet3!B22))</f>
        <v>2AP13 (1:1000)</v>
      </c>
      <c r="D12" s="22"/>
      <c r="E12" s="22"/>
      <c r="F12" s="57">
        <v>6.4580001831054688</v>
      </c>
      <c r="L12" s="18"/>
      <c r="O12" s="5"/>
    </row>
    <row r="13" spans="1:15" x14ac:dyDescent="0.2">
      <c r="A13" s="2" t="str">
        <f t="shared" si="0"/>
        <v>A</v>
      </c>
      <c r="B13" s="2">
        <v>4</v>
      </c>
      <c r="C13" s="2" t="str">
        <f ca="1">IF((OFFSET('384 Well qPCR Layout'!A$3, 0, Sheet3!B23))="", "",  OFFSET('384 Well qPCR Layout'!A$3, 0, Sheet3!B23))</f>
        <v/>
      </c>
      <c r="D13" s="22"/>
      <c r="E13" s="22"/>
      <c r="F13" s="57" t="s">
        <v>252</v>
      </c>
      <c r="L13" s="18"/>
      <c r="O13" s="5"/>
    </row>
    <row r="14" spans="1:15" x14ac:dyDescent="0.2">
      <c r="A14" s="2" t="str">
        <f t="shared" si="0"/>
        <v>A</v>
      </c>
      <c r="B14" s="2">
        <v>5</v>
      </c>
      <c r="C14" s="2" t="str">
        <f ca="1">IF((OFFSET('384 Well qPCR Layout'!A$3, 0, Sheet3!B24))="", "",  OFFSET('384 Well qPCR Layout'!A$3, 0, Sheet3!B24))</f>
        <v>2AP21 (1:1000)</v>
      </c>
      <c r="D14" s="22"/>
      <c r="E14" s="22"/>
      <c r="F14" s="57">
        <v>7.6579999923706055</v>
      </c>
      <c r="L14" s="18"/>
      <c r="O14" s="5"/>
    </row>
    <row r="15" spans="1:15" x14ac:dyDescent="0.2">
      <c r="A15" s="2" t="str">
        <f t="shared" si="0"/>
        <v>A</v>
      </c>
      <c r="B15" s="2">
        <v>6</v>
      </c>
      <c r="C15" s="2" t="str">
        <f ca="1">IF((OFFSET('384 Well qPCR Layout'!A$3, 0, Sheet3!B25))="", "",  OFFSET('384 Well qPCR Layout'!A$3, 0, Sheet3!B25))</f>
        <v/>
      </c>
      <c r="D15" s="22"/>
      <c r="E15" s="22"/>
      <c r="F15" s="57">
        <v>13.192000389099121</v>
      </c>
      <c r="L15" s="18"/>
      <c r="O15" s="5"/>
    </row>
    <row r="16" spans="1:15" x14ac:dyDescent="0.2">
      <c r="A16" s="2" t="str">
        <f t="shared" si="0"/>
        <v>A</v>
      </c>
      <c r="B16" s="2">
        <v>7</v>
      </c>
      <c r="C16" s="2" t="str">
        <f ca="1">IF((OFFSET('384 Well qPCR Layout'!A$3, 0, Sheet3!B26))="", "",  OFFSET('384 Well qPCR Layout'!A$3, 0, Sheet3!B26))</f>
        <v>2AP29 (1:1000)</v>
      </c>
      <c r="D16" s="22"/>
      <c r="E16" s="22"/>
      <c r="F16" s="57">
        <v>7.4479999542236328</v>
      </c>
      <c r="L16" s="18"/>
      <c r="O16" s="5"/>
    </row>
    <row r="17" spans="1:15" x14ac:dyDescent="0.2">
      <c r="A17" s="2" t="str">
        <f t="shared" si="0"/>
        <v>A</v>
      </c>
      <c r="B17" s="2">
        <v>8</v>
      </c>
      <c r="C17" s="2" t="str">
        <f ca="1">IF((OFFSET('384 Well qPCR Layout'!A$3, 0, Sheet3!B27))="", "",  OFFSET('384 Well qPCR Layout'!A$3, 0, Sheet3!B27))</f>
        <v/>
      </c>
      <c r="D17" s="22"/>
      <c r="E17" s="22"/>
      <c r="F17" s="57">
        <v>5.3460001945495605</v>
      </c>
      <c r="L17" s="18"/>
    </row>
    <row r="18" spans="1:15" x14ac:dyDescent="0.2">
      <c r="A18" s="2" t="str">
        <f t="shared" si="0"/>
        <v>A</v>
      </c>
      <c r="B18" s="2">
        <v>9</v>
      </c>
      <c r="C18" s="2" t="str">
        <f ca="1">IF((OFFSET('384 Well qPCR Layout'!A$3, 0, Sheet3!B28))="", "",  OFFSET('384 Well qPCR Layout'!A$3, 0, Sheet3!B28))</f>
        <v>L0P11 (1:1000)</v>
      </c>
      <c r="D18" s="22"/>
      <c r="E18" s="22"/>
      <c r="F18" s="57">
        <v>7.304999828338623</v>
      </c>
      <c r="L18" s="18"/>
      <c r="O18" s="5"/>
    </row>
    <row r="19" spans="1:15" x14ac:dyDescent="0.2">
      <c r="A19" s="2" t="str">
        <f t="shared" si="0"/>
        <v>A</v>
      </c>
      <c r="B19" s="2">
        <v>10</v>
      </c>
      <c r="C19" s="2" t="str">
        <f ca="1">IF((OFFSET('384 Well qPCR Layout'!A$3, 0, Sheet3!B29))="", "",  OFFSET('384 Well qPCR Layout'!A$3, 0, Sheet3!B29))</f>
        <v/>
      </c>
      <c r="D19" s="22"/>
      <c r="E19" s="22"/>
      <c r="F19" s="56">
        <v>10.564999580383301</v>
      </c>
      <c r="O19" s="5"/>
    </row>
    <row r="20" spans="1:15" x14ac:dyDescent="0.2">
      <c r="A20" s="2" t="str">
        <f t="shared" si="0"/>
        <v>A</v>
      </c>
      <c r="B20" s="2">
        <v>11</v>
      </c>
      <c r="C20" s="2" t="str">
        <f ca="1">IF((OFFSET('384 Well qPCR Layout'!A$3, 0, Sheet3!B30))="", "",  OFFSET('384 Well qPCR Layout'!A$3, 0, Sheet3!B30))</f>
        <v>L0P19 (1:1000)</v>
      </c>
      <c r="D20" s="22"/>
      <c r="E20" s="22"/>
      <c r="F20" s="57">
        <v>7.8499999046325684</v>
      </c>
      <c r="O20" s="5"/>
    </row>
    <row r="21" spans="1:15" x14ac:dyDescent="0.2">
      <c r="A21" s="2" t="str">
        <f t="shared" si="0"/>
        <v>A</v>
      </c>
      <c r="B21" s="2">
        <v>12</v>
      </c>
      <c r="C21" s="2" t="str">
        <f ca="1">IF((OFFSET('384 Well qPCR Layout'!A$3, 0, Sheet3!B31))="", "",  OFFSET('384 Well qPCR Layout'!A$3, 0, Sheet3!B31))</f>
        <v/>
      </c>
      <c r="D21" s="22"/>
      <c r="E21" s="22"/>
      <c r="F21" s="56">
        <v>11.418999671936035</v>
      </c>
      <c r="O21" s="5"/>
    </row>
    <row r="22" spans="1:15" x14ac:dyDescent="0.2">
      <c r="A22" s="2" t="str">
        <f t="shared" si="0"/>
        <v>A</v>
      </c>
      <c r="B22" s="2">
        <v>13</v>
      </c>
      <c r="C22" s="2" t="str">
        <f ca="1">IF((OFFSET('384 Well qPCR Layout'!A$3, 0, Sheet3!B32))="", "",  OFFSET('384 Well qPCR Layout'!A$3, 0, Sheet3!B32))</f>
        <v>L0P27 (1:1000)</v>
      </c>
      <c r="D22" s="22"/>
      <c r="E22" s="22"/>
      <c r="F22" s="57">
        <v>5.7579998970031738</v>
      </c>
      <c r="O22" s="5"/>
    </row>
    <row r="23" spans="1:15" x14ac:dyDescent="0.2">
      <c r="A23" s="2" t="str">
        <f t="shared" si="0"/>
        <v>A</v>
      </c>
      <c r="B23" s="2">
        <v>14</v>
      </c>
      <c r="C23" s="2" t="str">
        <f ca="1">IF((OFFSET('384 Well qPCR Layout'!A$3, 0, Sheet3!B33))="", "",  OFFSET('384 Well qPCR Layout'!A$3, 0, Sheet3!B33))</f>
        <v/>
      </c>
      <c r="D23" s="22"/>
      <c r="E23" s="22"/>
      <c r="F23" s="57" t="s">
        <v>252</v>
      </c>
      <c r="O23" s="5"/>
    </row>
    <row r="24" spans="1:15" x14ac:dyDescent="0.2">
      <c r="A24" s="2" t="str">
        <f t="shared" si="0"/>
        <v>A</v>
      </c>
      <c r="B24" s="2">
        <v>15</v>
      </c>
      <c r="C24" s="2" t="str">
        <f ca="1">IF((OFFSET('384 Well qPCR Layout'!A$3, 0, Sheet3!B34))="", "",  OFFSET('384 Well qPCR Layout'!A$3, 0, Sheet3!B34))</f>
        <v>BarLP5C (1:1000)</v>
      </c>
      <c r="D24" s="22"/>
      <c r="E24" s="22"/>
      <c r="F24" s="57">
        <v>8.3730001449584961</v>
      </c>
      <c r="O24" s="5"/>
    </row>
    <row r="25" spans="1:15" x14ac:dyDescent="0.2">
      <c r="A25" s="2" t="str">
        <f t="shared" si="0"/>
        <v>A</v>
      </c>
      <c r="B25" s="2">
        <v>16</v>
      </c>
      <c r="C25" s="2" t="str">
        <f ca="1">IF((OFFSET('384 Well qPCR Layout'!A$3, 0, Sheet3!B35))="", "",  OFFSET('384 Well qPCR Layout'!A$3, 0, Sheet3!B35))</f>
        <v/>
      </c>
      <c r="D25" s="22"/>
      <c r="E25" s="22"/>
      <c r="F25" s="56" t="s">
        <v>252</v>
      </c>
      <c r="O25" s="5"/>
    </row>
    <row r="26" spans="1:15" x14ac:dyDescent="0.2">
      <c r="A26" s="2" t="str">
        <f t="shared" si="0"/>
        <v>A</v>
      </c>
      <c r="B26" s="2">
        <v>17</v>
      </c>
      <c r="C26" s="2" t="str">
        <f ca="1">IF((OFFSET('384 Well qPCR Layout'!A$3, 0, Sheet3!B36))="", "",  OFFSET('384 Well qPCR Layout'!A$3, 0, Sheet3!B36))</f>
        <v>BarLP13C (1:1000)</v>
      </c>
      <c r="D26" s="22"/>
      <c r="E26" s="22"/>
      <c r="F26" s="57">
        <v>6.9840002059936523</v>
      </c>
      <c r="O26" s="5"/>
    </row>
    <row r="27" spans="1:15" x14ac:dyDescent="0.2">
      <c r="A27" s="2" t="str">
        <f t="shared" si="0"/>
        <v>A</v>
      </c>
      <c r="B27" s="2">
        <v>18</v>
      </c>
      <c r="C27" s="2" t="str">
        <f ca="1">IF((OFFSET('384 Well qPCR Layout'!A$3, 0, Sheet3!B37))="", "",  OFFSET('384 Well qPCR Layout'!A$3, 0, Sheet3!B37))</f>
        <v/>
      </c>
      <c r="D27" s="22"/>
      <c r="E27" s="22"/>
      <c r="F27" s="57">
        <v>13.324000358581543</v>
      </c>
      <c r="O27" s="5"/>
    </row>
    <row r="28" spans="1:15" x14ac:dyDescent="0.2">
      <c r="A28" s="2" t="str">
        <f t="shared" si="0"/>
        <v>A</v>
      </c>
      <c r="B28" s="2">
        <v>19</v>
      </c>
      <c r="C28" s="2" t="str">
        <f ca="1">IF((OFFSET('384 Well qPCR Layout'!A$3, 0, Sheet3!B38))="", "",  OFFSET('384 Well qPCR Layout'!A$3, 0, Sheet3!B38))</f>
        <v>BarLP7H (1:1000)</v>
      </c>
      <c r="D28" s="22"/>
      <c r="E28" s="22"/>
      <c r="F28" s="57">
        <v>8.1879997253417969</v>
      </c>
      <c r="O28" s="5"/>
    </row>
    <row r="29" spans="1:15" x14ac:dyDescent="0.2">
      <c r="A29" s="2" t="str">
        <f t="shared" si="0"/>
        <v>A</v>
      </c>
      <c r="B29" s="2">
        <v>20</v>
      </c>
      <c r="C29" s="2" t="str">
        <f ca="1">IF((OFFSET('384 Well qPCR Layout'!A$3, 0, Sheet3!B39))="", "",  OFFSET('384 Well qPCR Layout'!A$3, 0, Sheet3!B39))</f>
        <v/>
      </c>
      <c r="D29" s="22"/>
      <c r="E29" s="22"/>
      <c r="F29" s="57">
        <v>3.3469998836517334</v>
      </c>
    </row>
    <row r="30" spans="1:15" x14ac:dyDescent="0.2">
      <c r="A30" s="2" t="str">
        <f t="shared" si="0"/>
        <v>A</v>
      </c>
      <c r="B30" s="2">
        <v>21</v>
      </c>
      <c r="C30" s="2" t="str">
        <f ca="1">IF((OFFSET('384 Well qPCR Layout'!A$3, 0, Sheet3!B40))="", "",  OFFSET('384 Well qPCR Layout'!A$3, 0, Sheet3!B40))</f>
        <v>BarLP15H (1:1000)</v>
      </c>
      <c r="D30" s="22"/>
      <c r="E30" s="22"/>
      <c r="F30" s="56">
        <v>6.4879999160766602</v>
      </c>
      <c r="O30" s="5"/>
    </row>
    <row r="31" spans="1:15" x14ac:dyDescent="0.2">
      <c r="A31" s="2" t="str">
        <f t="shared" si="0"/>
        <v>A</v>
      </c>
      <c r="B31" s="2">
        <v>22</v>
      </c>
      <c r="C31" s="2" t="str">
        <f ca="1">IF((OFFSET('384 Well qPCR Layout'!A$3, 0, Sheet3!B41))="", "",  OFFSET('384 Well qPCR Layout'!A$3, 0, Sheet3!B41))</f>
        <v/>
      </c>
      <c r="D31" s="22"/>
      <c r="E31" s="22"/>
      <c r="F31" s="57" t="s">
        <v>252</v>
      </c>
    </row>
    <row r="32" spans="1:15" x14ac:dyDescent="0.2">
      <c r="A32" s="2" t="str">
        <f t="shared" si="0"/>
        <v>A</v>
      </c>
      <c r="B32" s="2">
        <v>23</v>
      </c>
      <c r="C32" s="2" t="str">
        <f ca="1">IF((OFFSET('384 Well qPCR Layout'!A$3, 0, Sheet3!B42))="", "",  OFFSET('384 Well qPCR Layout'!A$3, 0, Sheet3!B42))</f>
        <v>2A (1:1000)</v>
      </c>
      <c r="D32" s="22"/>
      <c r="E32" s="22"/>
      <c r="F32" s="57">
        <v>7.5380001068115234</v>
      </c>
    </row>
    <row r="33" spans="1:15" x14ac:dyDescent="0.2">
      <c r="A33" s="2" t="str">
        <f t="shared" si="0"/>
        <v>A</v>
      </c>
      <c r="B33" s="2">
        <v>24</v>
      </c>
      <c r="C33" s="2" t="str">
        <f ca="1">IF((OFFSET('384 Well qPCR Layout'!A$3, 0, Sheet3!B43))="", "",  OFFSET('384 Well qPCR Layout'!A$3, 0, Sheet3!B43))</f>
        <v/>
      </c>
      <c r="D33" s="22"/>
      <c r="E33" s="22"/>
      <c r="F33" s="57" t="s">
        <v>252</v>
      </c>
      <c r="O33" s="5"/>
    </row>
    <row r="34" spans="1:15" x14ac:dyDescent="0.2">
      <c r="A34" s="2" t="str">
        <f>CHAR(CODE(A10)+1)</f>
        <v>B</v>
      </c>
      <c r="B34" s="2">
        <f>B10</f>
        <v>1</v>
      </c>
      <c r="C34" s="2" t="str">
        <f ca="1">IF((OFFSET('384 Well qPCR Layout'!A$4, 0, Sheet3!B20))="", "",  OFFSET('384 Well qPCR Layout'!A$4, 0, Sheet3!B20))</f>
        <v/>
      </c>
      <c r="D34" s="22"/>
      <c r="E34" s="22"/>
      <c r="F34" s="57" t="s">
        <v>252</v>
      </c>
      <c r="O34" s="5"/>
    </row>
    <row r="35" spans="1:15" x14ac:dyDescent="0.2">
      <c r="A35" s="2" t="str">
        <f t="shared" ref="A35:A98" si="1">CHAR(CODE(A11)+1)</f>
        <v>B</v>
      </c>
      <c r="B35" s="2">
        <f t="shared" ref="B35:B98" si="2">B11</f>
        <v>2</v>
      </c>
      <c r="C35" s="2" t="str">
        <f ca="1">IF((OFFSET('384 Well qPCR Layout'!A$4, 0, Sheet3!B21))="", "",  OFFSET('384 Well qPCR Layout'!A$4, 0, Sheet3!B21))</f>
        <v/>
      </c>
      <c r="D35" s="22"/>
      <c r="E35" s="22"/>
      <c r="F35" s="57">
        <v>10.597999572753906</v>
      </c>
      <c r="O35" s="5"/>
    </row>
    <row r="36" spans="1:15" x14ac:dyDescent="0.2">
      <c r="A36" s="2" t="str">
        <f t="shared" si="1"/>
        <v>B</v>
      </c>
      <c r="B36" s="2">
        <f t="shared" si="2"/>
        <v>3</v>
      </c>
      <c r="C36" s="2" t="str">
        <f ca="1">IF((OFFSET('384 Well qPCR Layout'!A$4, 0, Sheet3!B22))="", "",  OFFSET('384 Well qPCR Layout'!A$4, 0, Sheet3!B22))</f>
        <v/>
      </c>
      <c r="D36" s="22"/>
      <c r="E36" s="22"/>
      <c r="F36" s="57" t="s">
        <v>252</v>
      </c>
      <c r="O36" s="5"/>
    </row>
    <row r="37" spans="1:15" x14ac:dyDescent="0.2">
      <c r="A37" s="2" t="str">
        <f t="shared" si="1"/>
        <v>B</v>
      </c>
      <c r="B37" s="2">
        <f t="shared" si="2"/>
        <v>4</v>
      </c>
      <c r="C37" s="2" t="str">
        <f ca="1">IF((OFFSET('384 Well qPCR Layout'!A$4, 0, Sheet3!B23))="", "",  OFFSET('384 Well qPCR Layout'!A$4, 0, Sheet3!B23))</f>
        <v/>
      </c>
      <c r="D37" s="22"/>
      <c r="E37" s="22"/>
      <c r="F37" s="57">
        <v>15.977999687194824</v>
      </c>
      <c r="O37" s="5"/>
    </row>
    <row r="38" spans="1:15" x14ac:dyDescent="0.2">
      <c r="A38" s="2" t="str">
        <f t="shared" si="1"/>
        <v>B</v>
      </c>
      <c r="B38" s="2">
        <f t="shared" si="2"/>
        <v>5</v>
      </c>
      <c r="C38" s="2" t="str">
        <f ca="1">IF((OFFSET('384 Well qPCR Layout'!A$4, 0, Sheet3!B24))="", "",  OFFSET('384 Well qPCR Layout'!A$4, 0, Sheet3!B24))</f>
        <v/>
      </c>
      <c r="D38" s="22"/>
      <c r="E38" s="22"/>
      <c r="F38" s="57">
        <v>7.7649998664855957</v>
      </c>
      <c r="O38" s="5"/>
    </row>
    <row r="39" spans="1:15" x14ac:dyDescent="0.2">
      <c r="A39" s="2" t="str">
        <f t="shared" si="1"/>
        <v>B</v>
      </c>
      <c r="B39" s="2">
        <f t="shared" si="2"/>
        <v>6</v>
      </c>
      <c r="C39" s="2" t="str">
        <f ca="1">IF((OFFSET('384 Well qPCR Layout'!A$4, 0, Sheet3!B25))="", "",  OFFSET('384 Well qPCR Layout'!A$4, 0, Sheet3!B25))</f>
        <v/>
      </c>
      <c r="D39" s="22"/>
      <c r="E39" s="22"/>
      <c r="F39" s="57">
        <v>6.9590001106262207</v>
      </c>
      <c r="O39" s="5"/>
    </row>
    <row r="40" spans="1:15" x14ac:dyDescent="0.2">
      <c r="A40" s="2" t="str">
        <f t="shared" si="1"/>
        <v>B</v>
      </c>
      <c r="B40" s="2">
        <f t="shared" si="2"/>
        <v>7</v>
      </c>
      <c r="C40" s="2" t="str">
        <f ca="1">IF((OFFSET('384 Well qPCR Layout'!A$4, 0, Sheet3!B26))="", "",  OFFSET('384 Well qPCR Layout'!A$4, 0, Sheet3!B26))</f>
        <v/>
      </c>
      <c r="D40" s="22"/>
      <c r="E40" s="22"/>
      <c r="F40" s="57" t="s">
        <v>252</v>
      </c>
      <c r="O40" s="5"/>
    </row>
    <row r="41" spans="1:15" x14ac:dyDescent="0.2">
      <c r="A41" s="2" t="str">
        <f t="shared" si="1"/>
        <v>B</v>
      </c>
      <c r="B41" s="2">
        <f t="shared" si="2"/>
        <v>8</v>
      </c>
      <c r="C41" s="2" t="str">
        <f ca="1">IF((OFFSET('384 Well qPCR Layout'!A$4, 0, Sheet3!B27))="", "",  OFFSET('384 Well qPCR Layout'!A$4, 0, Sheet3!B27))</f>
        <v/>
      </c>
      <c r="D41" s="22"/>
      <c r="E41" s="22"/>
      <c r="F41" s="57" t="s">
        <v>252</v>
      </c>
    </row>
    <row r="42" spans="1:15" x14ac:dyDescent="0.2">
      <c r="A42" s="2" t="str">
        <f t="shared" si="1"/>
        <v>B</v>
      </c>
      <c r="B42" s="2">
        <f t="shared" si="2"/>
        <v>9</v>
      </c>
      <c r="C42" s="2" t="str">
        <f ca="1">IF((OFFSET('384 Well qPCR Layout'!A$4, 0, Sheet3!B28))="", "",  OFFSET('384 Well qPCR Layout'!A$4, 0, Sheet3!B28))</f>
        <v/>
      </c>
      <c r="D42" s="22"/>
      <c r="E42" s="22"/>
      <c r="F42" s="57" t="s">
        <v>252</v>
      </c>
      <c r="O42" s="5"/>
    </row>
    <row r="43" spans="1:15" x14ac:dyDescent="0.2">
      <c r="A43" s="2" t="str">
        <f t="shared" si="1"/>
        <v>B</v>
      </c>
      <c r="B43" s="2">
        <f t="shared" si="2"/>
        <v>10</v>
      </c>
      <c r="C43" s="2" t="str">
        <f ca="1">IF((OFFSET('384 Well qPCR Layout'!A$4, 0, Sheet3!B29))="", "",  OFFSET('384 Well qPCR Layout'!A$4, 0, Sheet3!B29))</f>
        <v/>
      </c>
      <c r="D43" s="22"/>
      <c r="E43" s="22"/>
      <c r="F43" s="57">
        <v>8.4130001068115234</v>
      </c>
      <c r="O43" s="5"/>
    </row>
    <row r="44" spans="1:15" x14ac:dyDescent="0.2">
      <c r="A44" s="2" t="str">
        <f t="shared" si="1"/>
        <v>B</v>
      </c>
      <c r="B44" s="2">
        <f t="shared" si="2"/>
        <v>11</v>
      </c>
      <c r="C44" s="2" t="str">
        <f ca="1">IF((OFFSET('384 Well qPCR Layout'!A$4, 0, Sheet3!B30))="", "",  OFFSET('384 Well qPCR Layout'!A$4, 0, Sheet3!B30))</f>
        <v/>
      </c>
      <c r="D44" s="22"/>
      <c r="E44" s="22"/>
      <c r="F44" s="57">
        <v>13.14900016784668</v>
      </c>
      <c r="O44" s="5"/>
    </row>
    <row r="45" spans="1:15" x14ac:dyDescent="0.2">
      <c r="A45" s="2" t="str">
        <f t="shared" si="1"/>
        <v>B</v>
      </c>
      <c r="B45" s="2">
        <f t="shared" si="2"/>
        <v>12</v>
      </c>
      <c r="C45" s="2" t="str">
        <f ca="1">IF((OFFSET('384 Well qPCR Layout'!A$4, 0, Sheet3!B31))="", "",  OFFSET('384 Well qPCR Layout'!A$4, 0, Sheet3!B31))</f>
        <v/>
      </c>
      <c r="D45" s="22"/>
      <c r="E45" s="22"/>
      <c r="F45" s="57" t="s">
        <v>252</v>
      </c>
      <c r="O45" s="5"/>
    </row>
    <row r="46" spans="1:15" x14ac:dyDescent="0.2">
      <c r="A46" s="2" t="str">
        <f t="shared" si="1"/>
        <v>B</v>
      </c>
      <c r="B46" s="2">
        <f t="shared" si="2"/>
        <v>13</v>
      </c>
      <c r="C46" s="2" t="str">
        <f ca="1">IF((OFFSET('384 Well qPCR Layout'!A$4, 0, Sheet3!B32))="", "",  OFFSET('384 Well qPCR Layout'!A$4, 0, Sheet3!B32))</f>
        <v/>
      </c>
      <c r="D46" s="22"/>
      <c r="E46" s="22"/>
      <c r="F46" s="57" t="s">
        <v>252</v>
      </c>
      <c r="O46" s="5"/>
    </row>
    <row r="47" spans="1:15" x14ac:dyDescent="0.2">
      <c r="A47" s="2" t="str">
        <f t="shared" si="1"/>
        <v>B</v>
      </c>
      <c r="B47" s="2">
        <f t="shared" si="2"/>
        <v>14</v>
      </c>
      <c r="C47" s="2" t="str">
        <f ca="1">IF((OFFSET('384 Well qPCR Layout'!A$4, 0, Sheet3!B33))="", "",  OFFSET('384 Well qPCR Layout'!A$4, 0, Sheet3!B33))</f>
        <v/>
      </c>
      <c r="D47" s="22"/>
      <c r="E47" s="22"/>
      <c r="F47" s="57">
        <v>8.4289999008178711</v>
      </c>
      <c r="O47" s="5"/>
    </row>
    <row r="48" spans="1:15" x14ac:dyDescent="0.2">
      <c r="A48" s="2" t="str">
        <f t="shared" si="1"/>
        <v>B</v>
      </c>
      <c r="B48" s="2">
        <f t="shared" si="2"/>
        <v>15</v>
      </c>
      <c r="C48" s="2" t="str">
        <f ca="1">IF((OFFSET('384 Well qPCR Layout'!A$4, 0, Sheet3!B34))="", "",  OFFSET('384 Well qPCR Layout'!A$4, 0, Sheet3!B34))</f>
        <v/>
      </c>
      <c r="D48" s="22"/>
      <c r="E48" s="22"/>
      <c r="F48" s="57">
        <v>9.0380001068115234</v>
      </c>
      <c r="O48" s="5"/>
    </row>
    <row r="49" spans="1:15" x14ac:dyDescent="0.2">
      <c r="A49" s="2" t="str">
        <f t="shared" si="1"/>
        <v>B</v>
      </c>
      <c r="B49" s="2">
        <f t="shared" si="2"/>
        <v>16</v>
      </c>
      <c r="C49" s="2" t="str">
        <f ca="1">IF((OFFSET('384 Well qPCR Layout'!A$4, 0, Sheet3!B35))="", "",  OFFSET('384 Well qPCR Layout'!A$4, 0, Sheet3!B35))</f>
        <v/>
      </c>
      <c r="D49" s="22"/>
      <c r="E49" s="22"/>
      <c r="F49" s="57">
        <v>5.6810002326965332</v>
      </c>
      <c r="O49" s="5"/>
    </row>
    <row r="50" spans="1:15" x14ac:dyDescent="0.2">
      <c r="A50" s="2" t="str">
        <f t="shared" si="1"/>
        <v>B</v>
      </c>
      <c r="B50" s="2">
        <f t="shared" si="2"/>
        <v>17</v>
      </c>
      <c r="C50" s="2" t="str">
        <f ca="1">IF((OFFSET('384 Well qPCR Layout'!A$4, 0, Sheet3!B36))="", "",  OFFSET('384 Well qPCR Layout'!A$4, 0, Sheet3!B36))</f>
        <v/>
      </c>
      <c r="D50" s="22"/>
      <c r="E50" s="22"/>
      <c r="F50" s="57" t="s">
        <v>252</v>
      </c>
      <c r="O50" s="5"/>
    </row>
    <row r="51" spans="1:15" x14ac:dyDescent="0.2">
      <c r="A51" s="2" t="str">
        <f t="shared" si="1"/>
        <v>B</v>
      </c>
      <c r="B51" s="2">
        <f t="shared" si="2"/>
        <v>18</v>
      </c>
      <c r="C51" s="2" t="str">
        <f ca="1">IF((OFFSET('384 Well qPCR Layout'!A$4, 0, Sheet3!B37))="", "",  OFFSET('384 Well qPCR Layout'!A$4, 0, Sheet3!B37))</f>
        <v/>
      </c>
      <c r="D51" s="22"/>
      <c r="E51" s="22"/>
      <c r="F51" s="57">
        <v>8.5649995803833008</v>
      </c>
      <c r="O51" s="5"/>
    </row>
    <row r="52" spans="1:15" x14ac:dyDescent="0.2">
      <c r="A52" s="2" t="str">
        <f t="shared" si="1"/>
        <v>B</v>
      </c>
      <c r="B52" s="2">
        <f t="shared" si="2"/>
        <v>19</v>
      </c>
      <c r="C52" s="2" t="str">
        <f ca="1">IF((OFFSET('384 Well qPCR Layout'!A$4, 0, Sheet3!B38))="", "",  OFFSET('384 Well qPCR Layout'!A$4, 0, Sheet3!B38))</f>
        <v/>
      </c>
      <c r="D52" s="22"/>
      <c r="E52" s="22"/>
      <c r="F52" s="57" t="s">
        <v>252</v>
      </c>
      <c r="O52" s="5"/>
    </row>
    <row r="53" spans="1:15" x14ac:dyDescent="0.2">
      <c r="A53" s="2" t="str">
        <f t="shared" si="1"/>
        <v>B</v>
      </c>
      <c r="B53" s="2">
        <f t="shared" si="2"/>
        <v>20</v>
      </c>
      <c r="C53" s="2" t="str">
        <f ca="1">IF((OFFSET('384 Well qPCR Layout'!A$4, 0, Sheet3!B39))="", "",  OFFSET('384 Well qPCR Layout'!A$4, 0, Sheet3!B39))</f>
        <v/>
      </c>
      <c r="D53" s="22"/>
      <c r="E53" s="22"/>
      <c r="F53" s="57" t="s">
        <v>252</v>
      </c>
    </row>
    <row r="54" spans="1:15" x14ac:dyDescent="0.2">
      <c r="A54" s="2" t="str">
        <f t="shared" si="1"/>
        <v>B</v>
      </c>
      <c r="B54" s="2">
        <f t="shared" si="2"/>
        <v>21</v>
      </c>
      <c r="C54" s="2" t="str">
        <f ca="1">IF((OFFSET('384 Well qPCR Layout'!A$4, 0, Sheet3!B40))="", "",  OFFSET('384 Well qPCR Layout'!A$4, 0, Sheet3!B40))</f>
        <v/>
      </c>
      <c r="D54" s="22"/>
      <c r="E54" s="22"/>
      <c r="F54" s="57">
        <v>6.0180001258850098</v>
      </c>
    </row>
    <row r="55" spans="1:15" x14ac:dyDescent="0.2">
      <c r="A55" s="2" t="str">
        <f t="shared" si="1"/>
        <v>B</v>
      </c>
      <c r="B55" s="2">
        <f t="shared" si="2"/>
        <v>22</v>
      </c>
      <c r="C55" s="2" t="str">
        <f ca="1">IF((OFFSET('384 Well qPCR Layout'!A$4, 0, Sheet3!B41))="", "",  OFFSET('384 Well qPCR Layout'!A$4, 0, Sheet3!B41))</f>
        <v/>
      </c>
      <c r="D55" s="22"/>
      <c r="E55" s="22"/>
      <c r="F55" s="57" t="s">
        <v>252</v>
      </c>
    </row>
    <row r="56" spans="1:15" x14ac:dyDescent="0.2">
      <c r="A56" s="2" t="str">
        <f t="shared" si="1"/>
        <v>B</v>
      </c>
      <c r="B56" s="2">
        <f t="shared" si="2"/>
        <v>23</v>
      </c>
      <c r="C56" s="2" t="str">
        <f ca="1">IF((OFFSET('384 Well qPCR Layout'!A$4, 0, Sheet3!B42))="", "",  OFFSET('384 Well qPCR Layout'!A$4, 0, Sheet3!B42))</f>
        <v/>
      </c>
      <c r="D56" s="22"/>
      <c r="E56" s="22"/>
      <c r="F56" s="57" t="s">
        <v>252</v>
      </c>
      <c r="O56" s="5"/>
    </row>
    <row r="57" spans="1:15" x14ac:dyDescent="0.2">
      <c r="A57" s="2" t="str">
        <f t="shared" si="1"/>
        <v>B</v>
      </c>
      <c r="B57" s="2">
        <f t="shared" si="2"/>
        <v>24</v>
      </c>
      <c r="C57" s="2" t="str">
        <f ca="1">IF((OFFSET('384 Well qPCR Layout'!A$4, 0, Sheet3!B43))="", "",  OFFSET('384 Well qPCR Layout'!A$4, 0, Sheet3!B43))</f>
        <v>Standard 1</v>
      </c>
      <c r="D57" s="22"/>
      <c r="E57" s="22"/>
      <c r="F57" s="57">
        <v>8.8719997406005859</v>
      </c>
      <c r="O57" s="5"/>
    </row>
    <row r="58" spans="1:15" x14ac:dyDescent="0.2">
      <c r="A58" s="2" t="str">
        <f t="shared" si="1"/>
        <v>C</v>
      </c>
      <c r="B58" s="2">
        <f t="shared" si="2"/>
        <v>1</v>
      </c>
      <c r="C58" s="2" t="str">
        <f ca="1">IF((OFFSET('384 Well qPCR Layout'!A$5, 0, Sheet3!B20))="", "",  OFFSET('384 Well qPCR Layout'!A$5, 0, Sheet3!B20))</f>
        <v>2AP6 (1:1000)</v>
      </c>
      <c r="D58" s="22"/>
      <c r="E58" s="22"/>
      <c r="F58" s="57">
        <v>7.7080001831054688</v>
      </c>
      <c r="O58" s="5"/>
    </row>
    <row r="59" spans="1:15" x14ac:dyDescent="0.2">
      <c r="A59" s="2" t="str">
        <f t="shared" si="1"/>
        <v>C</v>
      </c>
      <c r="B59" s="2">
        <f t="shared" si="2"/>
        <v>2</v>
      </c>
      <c r="C59" s="2" t="str">
        <f ca="1">IF((OFFSET('384 Well qPCR Layout'!A$5, 0, Sheet3!B21))="", "",  OFFSET('384 Well qPCR Layout'!A$5, 0, Sheet3!B21))</f>
        <v/>
      </c>
      <c r="D59" s="22"/>
      <c r="E59" s="22"/>
      <c r="F59" s="57" t="s">
        <v>252</v>
      </c>
      <c r="O59" s="5"/>
    </row>
    <row r="60" spans="1:15" x14ac:dyDescent="0.2">
      <c r="A60" s="2" t="str">
        <f t="shared" si="1"/>
        <v>C</v>
      </c>
      <c r="B60" s="2">
        <f t="shared" si="2"/>
        <v>3</v>
      </c>
      <c r="C60" s="2" t="str">
        <f ca="1">IF((OFFSET('384 Well qPCR Layout'!A$5, 0, Sheet3!B22))="", "",  OFFSET('384 Well qPCR Layout'!A$5, 0, Sheet3!B22))</f>
        <v>2AP14 (1:1000)</v>
      </c>
      <c r="D60" s="22"/>
      <c r="E60" s="22"/>
      <c r="F60" s="57">
        <v>7.1729998588562012</v>
      </c>
      <c r="O60" s="5"/>
    </row>
    <row r="61" spans="1:15" x14ac:dyDescent="0.2">
      <c r="A61" s="2" t="str">
        <f t="shared" si="1"/>
        <v>C</v>
      </c>
      <c r="B61" s="2">
        <f t="shared" si="2"/>
        <v>4</v>
      </c>
      <c r="C61" s="2" t="str">
        <f ca="1">IF((OFFSET('384 Well qPCR Layout'!A$5, 0, Sheet3!B23))="", "",  OFFSET('384 Well qPCR Layout'!A$5, 0, Sheet3!B23))</f>
        <v/>
      </c>
      <c r="D61" s="22"/>
      <c r="E61" s="22"/>
      <c r="F61" s="56" t="s">
        <v>252</v>
      </c>
      <c r="O61" s="5"/>
    </row>
    <row r="62" spans="1:15" x14ac:dyDescent="0.2">
      <c r="A62" s="2" t="str">
        <f t="shared" si="1"/>
        <v>C</v>
      </c>
      <c r="B62" s="2">
        <f t="shared" si="2"/>
        <v>5</v>
      </c>
      <c r="C62" s="2" t="str">
        <f ca="1">IF((OFFSET('384 Well qPCR Layout'!A$5, 0, Sheet3!B24))="", "",  OFFSET('384 Well qPCR Layout'!A$5, 0, Sheet3!B24))</f>
        <v>2AP22 (1:1000)</v>
      </c>
      <c r="D62" s="22"/>
      <c r="E62" s="22"/>
      <c r="F62" s="57">
        <v>7.4219999313354492</v>
      </c>
      <c r="O62" s="5"/>
    </row>
    <row r="63" spans="1:15" x14ac:dyDescent="0.2">
      <c r="A63" s="2" t="str">
        <f t="shared" si="1"/>
        <v>C</v>
      </c>
      <c r="B63" s="2">
        <f t="shared" si="2"/>
        <v>6</v>
      </c>
      <c r="C63" s="2" t="str">
        <f ca="1">IF((OFFSET('384 Well qPCR Layout'!A$5, 0, Sheet3!B25))="", "",  OFFSET('384 Well qPCR Layout'!A$5, 0, Sheet3!B25))</f>
        <v/>
      </c>
      <c r="D63" s="22"/>
      <c r="E63" s="22"/>
      <c r="F63" s="57" t="s">
        <v>252</v>
      </c>
      <c r="O63" s="5"/>
    </row>
    <row r="64" spans="1:15" x14ac:dyDescent="0.2">
      <c r="A64" s="2" t="str">
        <f t="shared" si="1"/>
        <v>C</v>
      </c>
      <c r="B64" s="2">
        <f t="shared" si="2"/>
        <v>7</v>
      </c>
      <c r="C64" s="2" t="str">
        <f ca="1">IF((OFFSET('384 Well qPCR Layout'!A$5, 0, Sheet3!B26))="", "",  OFFSET('384 Well qPCR Layout'!A$5, 0, Sheet3!B26))</f>
        <v>2AP30 (1:1000)</v>
      </c>
      <c r="D64" s="22"/>
      <c r="E64" s="22"/>
      <c r="F64" s="57">
        <v>7.4580001831054688</v>
      </c>
      <c r="O64" s="5"/>
    </row>
    <row r="65" spans="1:15" x14ac:dyDescent="0.2">
      <c r="A65" s="2" t="str">
        <f t="shared" si="1"/>
        <v>C</v>
      </c>
      <c r="B65" s="2">
        <f t="shared" si="2"/>
        <v>8</v>
      </c>
      <c r="C65" s="2" t="str">
        <f ca="1">IF((OFFSET('384 Well qPCR Layout'!A$5, 0, Sheet3!B27))="", "",  OFFSET('384 Well qPCR Layout'!A$5, 0, Sheet3!B27))</f>
        <v/>
      </c>
      <c r="D65" s="22"/>
      <c r="E65" s="22"/>
      <c r="F65" s="57">
        <v>10.267999649047852</v>
      </c>
    </row>
    <row r="66" spans="1:15" x14ac:dyDescent="0.2">
      <c r="A66" s="2" t="str">
        <f t="shared" si="1"/>
        <v>C</v>
      </c>
      <c r="B66" s="2">
        <f t="shared" si="2"/>
        <v>9</v>
      </c>
      <c r="C66" s="2" t="str">
        <f ca="1">IF((OFFSET('384 Well qPCR Layout'!A$5, 0, Sheet3!B28))="", "",  OFFSET('384 Well qPCR Layout'!A$5, 0, Sheet3!B28))</f>
        <v>L0P12 (1:1000)</v>
      </c>
      <c r="D66" s="22"/>
      <c r="E66" s="22"/>
      <c r="F66" s="57">
        <v>7.190000057220459</v>
      </c>
      <c r="O66" s="5"/>
    </row>
    <row r="67" spans="1:15" x14ac:dyDescent="0.2">
      <c r="A67" s="2" t="str">
        <f t="shared" si="1"/>
        <v>C</v>
      </c>
      <c r="B67" s="2">
        <f t="shared" si="2"/>
        <v>10</v>
      </c>
      <c r="C67" s="2" t="str">
        <f ca="1">IF((OFFSET('384 Well qPCR Layout'!A$5, 0, Sheet3!B29))="", "",  OFFSET('384 Well qPCR Layout'!A$5, 0, Sheet3!B29))</f>
        <v/>
      </c>
      <c r="D67" s="22"/>
      <c r="E67" s="22"/>
      <c r="F67" s="57">
        <v>12.164999961853027</v>
      </c>
      <c r="O67" s="5"/>
    </row>
    <row r="68" spans="1:15" x14ac:dyDescent="0.2">
      <c r="A68" s="2" t="str">
        <f t="shared" si="1"/>
        <v>C</v>
      </c>
      <c r="B68" s="2">
        <f t="shared" si="2"/>
        <v>11</v>
      </c>
      <c r="C68" s="2" t="str">
        <f ca="1">IF((OFFSET('384 Well qPCR Layout'!A$5, 0, Sheet3!B30))="", "",  OFFSET('384 Well qPCR Layout'!A$5, 0, Sheet3!B30))</f>
        <v>L0P20 (1:1000)</v>
      </c>
      <c r="D68" s="22"/>
      <c r="E68" s="22"/>
      <c r="F68" s="57">
        <v>7.7789998054504395</v>
      </c>
      <c r="O68" s="5"/>
    </row>
    <row r="69" spans="1:15" x14ac:dyDescent="0.2">
      <c r="A69" s="2" t="str">
        <f t="shared" si="1"/>
        <v>C</v>
      </c>
      <c r="B69" s="2">
        <f t="shared" si="2"/>
        <v>12</v>
      </c>
      <c r="C69" s="2" t="str">
        <f ca="1">IF((OFFSET('384 Well qPCR Layout'!A$5, 0, Sheet3!B31))="", "",  OFFSET('384 Well qPCR Layout'!A$5, 0, Sheet3!B31))</f>
        <v/>
      </c>
      <c r="D69" s="22"/>
      <c r="E69" s="22"/>
      <c r="F69" s="56" t="s">
        <v>252</v>
      </c>
      <c r="O69" s="5"/>
    </row>
    <row r="70" spans="1:15" x14ac:dyDescent="0.2">
      <c r="A70" s="2" t="str">
        <f t="shared" si="1"/>
        <v>C</v>
      </c>
      <c r="B70" s="2">
        <f t="shared" si="2"/>
        <v>13</v>
      </c>
      <c r="C70" s="2" t="str">
        <f ca="1">IF((OFFSET('384 Well qPCR Layout'!A$5, 0, Sheet3!B32))="", "",  OFFSET('384 Well qPCR Layout'!A$5, 0, Sheet3!B32))</f>
        <v>L0P28 (1:1000)</v>
      </c>
      <c r="D70" s="22"/>
      <c r="E70" s="22"/>
      <c r="F70" s="57">
        <v>5.7399997711181641</v>
      </c>
      <c r="O70" s="5"/>
    </row>
    <row r="71" spans="1:15" x14ac:dyDescent="0.2">
      <c r="A71" s="2" t="str">
        <f t="shared" si="1"/>
        <v>C</v>
      </c>
      <c r="B71" s="2">
        <f t="shared" si="2"/>
        <v>14</v>
      </c>
      <c r="C71" s="2" t="str">
        <f ca="1">IF((OFFSET('384 Well qPCR Layout'!A$5, 0, Sheet3!B33))="", "",  OFFSET('384 Well qPCR Layout'!A$5, 0, Sheet3!B33))</f>
        <v/>
      </c>
      <c r="D71" s="22"/>
      <c r="E71" s="22"/>
      <c r="F71" s="56" t="s">
        <v>252</v>
      </c>
      <c r="O71" s="5"/>
    </row>
    <row r="72" spans="1:15" x14ac:dyDescent="0.2">
      <c r="A72" s="2" t="str">
        <f t="shared" si="1"/>
        <v>C</v>
      </c>
      <c r="B72" s="2">
        <f t="shared" si="2"/>
        <v>15</v>
      </c>
      <c r="C72" s="2" t="str">
        <f ca="1">IF((OFFSET('384 Well qPCR Layout'!A$5, 0, Sheet3!B34))="", "",  OFFSET('384 Well qPCR Layout'!A$5, 0, Sheet3!B34))</f>
        <v>BarLP6C (1:1000)</v>
      </c>
      <c r="D72" s="22"/>
      <c r="E72" s="22"/>
      <c r="F72" s="57">
        <v>8.1210002899169922</v>
      </c>
      <c r="O72" s="5"/>
    </row>
    <row r="73" spans="1:15" x14ac:dyDescent="0.2">
      <c r="A73" s="2" t="str">
        <f t="shared" si="1"/>
        <v>C</v>
      </c>
      <c r="B73" s="2">
        <f t="shared" si="2"/>
        <v>16</v>
      </c>
      <c r="C73" s="2" t="str">
        <f ca="1">IF((OFFSET('384 Well qPCR Layout'!A$5, 0, Sheet3!B35))="", "",  OFFSET('384 Well qPCR Layout'!A$5, 0, Sheet3!B35))</f>
        <v/>
      </c>
      <c r="D73" s="22"/>
      <c r="E73" s="22"/>
      <c r="F73" s="57" t="s">
        <v>252</v>
      </c>
      <c r="O73" s="5"/>
    </row>
    <row r="74" spans="1:15" x14ac:dyDescent="0.2">
      <c r="A74" s="2" t="str">
        <f t="shared" si="1"/>
        <v>C</v>
      </c>
      <c r="B74" s="2">
        <f t="shared" si="2"/>
        <v>17</v>
      </c>
      <c r="C74" s="2" t="str">
        <f ca="1">IF((OFFSET('384 Well qPCR Layout'!A$5, 0, Sheet3!B36))="", "",  OFFSET('384 Well qPCR Layout'!A$5, 0, Sheet3!B36))</f>
        <v>BarLP14C (1:1000)</v>
      </c>
      <c r="D74" s="22"/>
      <c r="E74" s="22"/>
      <c r="F74" s="57">
        <v>6.9439997673034668</v>
      </c>
      <c r="O74" s="5"/>
    </row>
    <row r="75" spans="1:15" x14ac:dyDescent="0.2">
      <c r="A75" s="2" t="str">
        <f t="shared" si="1"/>
        <v>C</v>
      </c>
      <c r="B75" s="2">
        <f t="shared" si="2"/>
        <v>18</v>
      </c>
      <c r="C75" s="2" t="str">
        <f ca="1">IF((OFFSET('384 Well qPCR Layout'!A$5, 0, Sheet3!B37))="", "",  OFFSET('384 Well qPCR Layout'!A$5, 0, Sheet3!B37))</f>
        <v/>
      </c>
      <c r="D75" s="22"/>
      <c r="E75" s="22"/>
      <c r="F75" s="57">
        <v>9.2770004272460938</v>
      </c>
      <c r="O75" s="5"/>
    </row>
    <row r="76" spans="1:15" x14ac:dyDescent="0.2">
      <c r="A76" s="2" t="str">
        <f t="shared" si="1"/>
        <v>C</v>
      </c>
      <c r="B76" s="2">
        <f t="shared" si="2"/>
        <v>19</v>
      </c>
      <c r="C76" s="2" t="str">
        <f ca="1">IF((OFFSET('384 Well qPCR Layout'!A$5, 0, Sheet3!B38))="", "",  OFFSET('384 Well qPCR Layout'!A$5, 0, Sheet3!B38))</f>
        <v>BarLP8H (1:1000)</v>
      </c>
      <c r="D76" s="22"/>
      <c r="E76" s="22"/>
      <c r="F76" s="57">
        <v>7.8629999160766602</v>
      </c>
      <c r="O76" s="5"/>
    </row>
    <row r="77" spans="1:15" x14ac:dyDescent="0.2">
      <c r="A77" s="2" t="str">
        <f t="shared" si="1"/>
        <v>C</v>
      </c>
      <c r="B77" s="2">
        <f t="shared" si="2"/>
        <v>20</v>
      </c>
      <c r="C77" s="2" t="str">
        <f ca="1">IF((OFFSET('384 Well qPCR Layout'!A$5, 0, Sheet3!B39))="", "",  OFFSET('384 Well qPCR Layout'!A$5, 0, Sheet3!B39))</f>
        <v/>
      </c>
      <c r="D77" s="22"/>
      <c r="E77" s="22"/>
      <c r="F77" s="56" t="s">
        <v>252</v>
      </c>
    </row>
    <row r="78" spans="1:15" x14ac:dyDescent="0.2">
      <c r="A78" s="2" t="str">
        <f t="shared" si="1"/>
        <v>C</v>
      </c>
      <c r="B78" s="2">
        <f t="shared" si="2"/>
        <v>21</v>
      </c>
      <c r="C78" s="2" t="str">
        <f ca="1">IF((OFFSET('384 Well qPCR Layout'!A$5, 0, Sheet3!B40))="", "",  OFFSET('384 Well qPCR Layout'!A$5, 0, Sheet3!B40))</f>
        <v>BarLP16H (1:1000)</v>
      </c>
      <c r="D78" s="22"/>
      <c r="E78" s="22"/>
      <c r="F78" s="57">
        <v>5.1100001335144043</v>
      </c>
      <c r="O78" s="5"/>
    </row>
    <row r="79" spans="1:15" x14ac:dyDescent="0.2">
      <c r="A79" s="2" t="str">
        <f t="shared" si="1"/>
        <v>C</v>
      </c>
      <c r="B79" s="2">
        <f t="shared" si="2"/>
        <v>22</v>
      </c>
      <c r="C79" s="2" t="str">
        <f ca="1">IF((OFFSET('384 Well qPCR Layout'!A$5, 0, Sheet3!B41))="", "",  OFFSET('384 Well qPCR Layout'!A$5, 0, Sheet3!B41))</f>
        <v/>
      </c>
      <c r="D79" s="22"/>
      <c r="E79" s="22"/>
      <c r="F79" s="57" t="s">
        <v>252</v>
      </c>
    </row>
    <row r="80" spans="1:15" x14ac:dyDescent="0.2">
      <c r="A80" s="2" t="str">
        <f t="shared" si="1"/>
        <v>C</v>
      </c>
      <c r="B80" s="2">
        <f t="shared" si="2"/>
        <v>23</v>
      </c>
      <c r="C80" s="2" t="str">
        <f ca="1">IF((OFFSET('384 Well qPCR Layout'!A$5, 0, Sheet3!B42))="", "",  OFFSET('384 Well qPCR Layout'!A$5, 0, Sheet3!B42))</f>
        <v>L0 (1:1000)</v>
      </c>
      <c r="D80" s="22"/>
      <c r="E80" s="22"/>
      <c r="F80" s="57">
        <v>7.125</v>
      </c>
      <c r="O80" s="5"/>
    </row>
    <row r="81" spans="1:15" x14ac:dyDescent="0.2">
      <c r="A81" s="2" t="str">
        <f t="shared" si="1"/>
        <v>C</v>
      </c>
      <c r="B81" s="2">
        <f t="shared" si="2"/>
        <v>24</v>
      </c>
      <c r="C81" s="2" t="str">
        <f ca="1">IF((OFFSET('384 Well qPCR Layout'!A$5, 0, Sheet3!B43))="", "",  OFFSET('384 Well qPCR Layout'!A$5, 0, Sheet3!B43))</f>
        <v/>
      </c>
      <c r="D81" s="22"/>
      <c r="E81" s="22"/>
      <c r="F81" s="57" t="s">
        <v>252</v>
      </c>
      <c r="O81" s="5"/>
    </row>
    <row r="82" spans="1:15" x14ac:dyDescent="0.2">
      <c r="A82" s="2" t="str">
        <f t="shared" si="1"/>
        <v>D</v>
      </c>
      <c r="B82" s="2">
        <f t="shared" si="2"/>
        <v>1</v>
      </c>
      <c r="C82" s="2" t="str">
        <f ca="1">IF((OFFSET('384 Well qPCR Layout'!A$6, 0, Sheet3!B20))="", "",  OFFSET('384 Well qPCR Layout'!A$6, 0, Sheet3!B20))</f>
        <v/>
      </c>
      <c r="D82" s="22"/>
      <c r="E82" s="22"/>
      <c r="F82" s="57" t="s">
        <v>252</v>
      </c>
    </row>
    <row r="83" spans="1:15" x14ac:dyDescent="0.2">
      <c r="A83" s="2" t="str">
        <f t="shared" si="1"/>
        <v>D</v>
      </c>
      <c r="B83" s="2">
        <f t="shared" si="2"/>
        <v>2</v>
      </c>
      <c r="C83" s="2" t="str">
        <f ca="1">IF((OFFSET('384 Well qPCR Layout'!A$6, 0, Sheet3!B21))="", "",  OFFSET('384 Well qPCR Layout'!A$6, 0, Sheet3!B21))</f>
        <v/>
      </c>
      <c r="D83" s="22"/>
      <c r="E83" s="22"/>
      <c r="F83" s="57">
        <v>3.8959999084472656</v>
      </c>
      <c r="O83" s="5"/>
    </row>
    <row r="84" spans="1:15" x14ac:dyDescent="0.2">
      <c r="A84" s="2" t="str">
        <f t="shared" si="1"/>
        <v>D</v>
      </c>
      <c r="B84" s="2">
        <f t="shared" si="2"/>
        <v>3</v>
      </c>
      <c r="C84" s="2" t="str">
        <f ca="1">IF((OFFSET('384 Well qPCR Layout'!A$6, 0, Sheet3!B22))="", "",  OFFSET('384 Well qPCR Layout'!A$6, 0, Sheet3!B22))</f>
        <v/>
      </c>
      <c r="D84" s="22"/>
      <c r="E84" s="22"/>
      <c r="F84" s="57" t="s">
        <v>252</v>
      </c>
      <c r="O84" s="5"/>
    </row>
    <row r="85" spans="1:15" x14ac:dyDescent="0.2">
      <c r="A85" s="2" t="str">
        <f t="shared" si="1"/>
        <v>D</v>
      </c>
      <c r="B85" s="2">
        <f t="shared" si="2"/>
        <v>4</v>
      </c>
      <c r="C85" s="2" t="str">
        <f ca="1">IF((OFFSET('384 Well qPCR Layout'!A$6, 0, Sheet3!B23))="", "",  OFFSET('384 Well qPCR Layout'!A$6, 0, Sheet3!B23))</f>
        <v/>
      </c>
      <c r="D85" s="22"/>
      <c r="E85" s="22"/>
      <c r="F85" s="57" t="s">
        <v>252</v>
      </c>
      <c r="O85" s="5"/>
    </row>
    <row r="86" spans="1:15" x14ac:dyDescent="0.2">
      <c r="A86" s="2" t="str">
        <f t="shared" si="1"/>
        <v>D</v>
      </c>
      <c r="B86" s="2">
        <f t="shared" si="2"/>
        <v>5</v>
      </c>
      <c r="C86" s="2" t="str">
        <f ca="1">IF((OFFSET('384 Well qPCR Layout'!A$6, 0, Sheet3!B24))="", "",  OFFSET('384 Well qPCR Layout'!A$6, 0, Sheet3!B24))</f>
        <v/>
      </c>
      <c r="D86" s="22"/>
      <c r="E86" s="22"/>
      <c r="F86" s="57" t="s">
        <v>252</v>
      </c>
      <c r="O86" s="5"/>
    </row>
    <row r="87" spans="1:15" x14ac:dyDescent="0.2">
      <c r="A87" s="2" t="str">
        <f t="shared" si="1"/>
        <v>D</v>
      </c>
      <c r="B87" s="2">
        <f t="shared" si="2"/>
        <v>6</v>
      </c>
      <c r="C87" s="2" t="str">
        <f ca="1">IF((OFFSET('384 Well qPCR Layout'!A$6, 0, Sheet3!B25))="", "",  OFFSET('384 Well qPCR Layout'!A$6, 0, Sheet3!B25))</f>
        <v/>
      </c>
      <c r="D87" s="22"/>
      <c r="E87" s="22"/>
      <c r="F87" s="57" t="s">
        <v>252</v>
      </c>
      <c r="O87" s="5"/>
    </row>
    <row r="88" spans="1:15" x14ac:dyDescent="0.2">
      <c r="A88" s="2" t="str">
        <f t="shared" si="1"/>
        <v>D</v>
      </c>
      <c r="B88" s="2">
        <f t="shared" si="2"/>
        <v>7</v>
      </c>
      <c r="C88" s="2" t="str">
        <f ca="1">IF((OFFSET('384 Well qPCR Layout'!A$6, 0, Sheet3!B26))="", "",  OFFSET('384 Well qPCR Layout'!A$6, 0, Sheet3!B26))</f>
        <v/>
      </c>
      <c r="D88" s="22"/>
      <c r="E88" s="22"/>
      <c r="F88" s="57" t="s">
        <v>252</v>
      </c>
      <c r="O88" s="5"/>
    </row>
    <row r="89" spans="1:15" x14ac:dyDescent="0.2">
      <c r="A89" s="2" t="str">
        <f t="shared" si="1"/>
        <v>D</v>
      </c>
      <c r="B89" s="2">
        <f t="shared" si="2"/>
        <v>8</v>
      </c>
      <c r="C89" s="2" t="str">
        <f ca="1">IF((OFFSET('384 Well qPCR Layout'!A$6, 0, Sheet3!B27))="", "",  OFFSET('384 Well qPCR Layout'!A$6, 0, Sheet3!B27))</f>
        <v/>
      </c>
      <c r="D89" s="22"/>
      <c r="E89" s="22"/>
      <c r="F89" s="57">
        <v>6.0799999237060547</v>
      </c>
    </row>
    <row r="90" spans="1:15" x14ac:dyDescent="0.2">
      <c r="A90" s="2" t="str">
        <f t="shared" si="1"/>
        <v>D</v>
      </c>
      <c r="B90" s="2">
        <f t="shared" si="2"/>
        <v>9</v>
      </c>
      <c r="C90" s="2" t="str">
        <f ca="1">IF((OFFSET('384 Well qPCR Layout'!A$6, 0, Sheet3!B28))="", "",  OFFSET('384 Well qPCR Layout'!A$6, 0, Sheet3!B28))</f>
        <v/>
      </c>
      <c r="D90" s="22"/>
      <c r="E90" s="22"/>
      <c r="F90" s="57">
        <v>10.588000297546387</v>
      </c>
      <c r="O90" s="5"/>
    </row>
    <row r="91" spans="1:15" x14ac:dyDescent="0.2">
      <c r="A91" s="2" t="str">
        <f t="shared" si="1"/>
        <v>D</v>
      </c>
      <c r="B91" s="2">
        <f t="shared" si="2"/>
        <v>10</v>
      </c>
      <c r="C91" s="2" t="str">
        <f ca="1">IF((OFFSET('384 Well qPCR Layout'!A$6, 0, Sheet3!B29))="", "",  OFFSET('384 Well qPCR Layout'!A$6, 0, Sheet3!B29))</f>
        <v/>
      </c>
      <c r="D91" s="22"/>
      <c r="E91" s="22"/>
      <c r="F91" s="57" t="s">
        <v>252</v>
      </c>
      <c r="O91" s="5"/>
    </row>
    <row r="92" spans="1:15" x14ac:dyDescent="0.2">
      <c r="A92" s="2" t="str">
        <f t="shared" si="1"/>
        <v>D</v>
      </c>
      <c r="B92" s="2">
        <f t="shared" si="2"/>
        <v>11</v>
      </c>
      <c r="C92" s="2" t="str">
        <f ca="1">IF((OFFSET('384 Well qPCR Layout'!A$6, 0, Sheet3!B30))="", "",  OFFSET('384 Well qPCR Layout'!A$6, 0, Sheet3!B30))</f>
        <v/>
      </c>
      <c r="D92" s="22"/>
      <c r="E92" s="22"/>
      <c r="F92" s="57" t="s">
        <v>252</v>
      </c>
      <c r="O92" s="5"/>
    </row>
    <row r="93" spans="1:15" x14ac:dyDescent="0.2">
      <c r="A93" s="2" t="str">
        <f t="shared" si="1"/>
        <v>D</v>
      </c>
      <c r="B93" s="2">
        <f t="shared" si="2"/>
        <v>12</v>
      </c>
      <c r="C93" s="2" t="str">
        <f ca="1">IF((OFFSET('384 Well qPCR Layout'!A$6, 0, Sheet3!B31))="", "",  OFFSET('384 Well qPCR Layout'!A$6, 0, Sheet3!B31))</f>
        <v/>
      </c>
      <c r="D93" s="22"/>
      <c r="E93" s="22"/>
      <c r="F93" s="57" t="s">
        <v>252</v>
      </c>
      <c r="O93" s="5"/>
    </row>
    <row r="94" spans="1:15" x14ac:dyDescent="0.2">
      <c r="A94" s="2" t="str">
        <f t="shared" si="1"/>
        <v>D</v>
      </c>
      <c r="B94" s="2">
        <f t="shared" si="2"/>
        <v>13</v>
      </c>
      <c r="C94" s="2" t="str">
        <f ca="1">IF((OFFSET('384 Well qPCR Layout'!A$6, 0, Sheet3!B32))="", "",  OFFSET('384 Well qPCR Layout'!A$6, 0, Sheet3!B32))</f>
        <v/>
      </c>
      <c r="D94" s="22"/>
      <c r="E94" s="22"/>
      <c r="F94" s="57">
        <v>12.505999565124512</v>
      </c>
      <c r="O94" s="5"/>
    </row>
    <row r="95" spans="1:15" x14ac:dyDescent="0.2">
      <c r="A95" s="2" t="str">
        <f t="shared" si="1"/>
        <v>D</v>
      </c>
      <c r="B95" s="2">
        <f t="shared" si="2"/>
        <v>14</v>
      </c>
      <c r="C95" s="2" t="str">
        <f ca="1">IF((OFFSET('384 Well qPCR Layout'!A$6, 0, Sheet3!B33))="", "",  OFFSET('384 Well qPCR Layout'!A$6, 0, Sheet3!B33))</f>
        <v/>
      </c>
      <c r="D95" s="22"/>
      <c r="E95" s="22"/>
      <c r="F95" s="57" t="s">
        <v>252</v>
      </c>
      <c r="O95" s="5"/>
    </row>
    <row r="96" spans="1:15" x14ac:dyDescent="0.2">
      <c r="A96" s="2" t="str">
        <f t="shared" si="1"/>
        <v>D</v>
      </c>
      <c r="B96" s="2">
        <f t="shared" si="2"/>
        <v>15</v>
      </c>
      <c r="C96" s="2" t="str">
        <f ca="1">IF((OFFSET('384 Well qPCR Layout'!A$6, 0, Sheet3!B34))="", "",  OFFSET('384 Well qPCR Layout'!A$6, 0, Sheet3!B34))</f>
        <v/>
      </c>
      <c r="D96" s="22"/>
      <c r="E96" s="22"/>
      <c r="F96" s="57" t="s">
        <v>252</v>
      </c>
      <c r="O96" s="5"/>
    </row>
    <row r="97" spans="1:15" x14ac:dyDescent="0.2">
      <c r="A97" s="2" t="str">
        <f t="shared" si="1"/>
        <v>D</v>
      </c>
      <c r="B97" s="2">
        <f t="shared" si="2"/>
        <v>16</v>
      </c>
      <c r="C97" s="2" t="str">
        <f ca="1">IF((OFFSET('384 Well qPCR Layout'!A$6, 0, Sheet3!B35))="", "",  OFFSET('384 Well qPCR Layout'!A$6, 0, Sheet3!B35))</f>
        <v/>
      </c>
      <c r="D97" s="22"/>
      <c r="E97" s="22"/>
      <c r="F97" s="57">
        <v>6.3270001411437988</v>
      </c>
      <c r="O97" s="5"/>
    </row>
    <row r="98" spans="1:15" x14ac:dyDescent="0.2">
      <c r="A98" s="2" t="str">
        <f t="shared" si="1"/>
        <v>D</v>
      </c>
      <c r="B98" s="2">
        <f t="shared" si="2"/>
        <v>17</v>
      </c>
      <c r="C98" s="2" t="str">
        <f ca="1">IF((OFFSET('384 Well qPCR Layout'!A$6, 0, Sheet3!B36))="", "",  OFFSET('384 Well qPCR Layout'!A$6, 0, Sheet3!B36))</f>
        <v/>
      </c>
      <c r="D98" s="22"/>
      <c r="E98" s="22"/>
      <c r="F98" s="57" t="s">
        <v>252</v>
      </c>
      <c r="O98" s="5"/>
    </row>
    <row r="99" spans="1:15" x14ac:dyDescent="0.2">
      <c r="A99" s="2" t="str">
        <f t="shared" ref="A99:A162" si="3">CHAR(CODE(A75)+1)</f>
        <v>D</v>
      </c>
      <c r="B99" s="2">
        <f t="shared" ref="B99:B162" si="4">B75</f>
        <v>18</v>
      </c>
      <c r="C99" s="2" t="str">
        <f ca="1">IF((OFFSET('384 Well qPCR Layout'!A$6, 0, Sheet3!B37))="", "",  OFFSET('384 Well qPCR Layout'!A$6, 0, Sheet3!B37))</f>
        <v/>
      </c>
      <c r="D99" s="22"/>
      <c r="E99" s="22"/>
      <c r="F99" s="57">
        <v>9.0500001907348633</v>
      </c>
      <c r="O99" s="5"/>
    </row>
    <row r="100" spans="1:15" x14ac:dyDescent="0.2">
      <c r="A100" s="2" t="str">
        <f t="shared" si="3"/>
        <v>D</v>
      </c>
      <c r="B100" s="2">
        <f t="shared" si="4"/>
        <v>19</v>
      </c>
      <c r="C100" s="2" t="str">
        <f ca="1">IF((OFFSET('384 Well qPCR Layout'!A$6, 0, Sheet3!B38))="", "",  OFFSET('384 Well qPCR Layout'!A$6, 0, Sheet3!B38))</f>
        <v/>
      </c>
      <c r="D100" s="22"/>
      <c r="E100" s="22"/>
      <c r="F100" s="57">
        <v>8.7159996032714844</v>
      </c>
    </row>
    <row r="101" spans="1:15" x14ac:dyDescent="0.2">
      <c r="A101" s="2" t="str">
        <f t="shared" si="3"/>
        <v>D</v>
      </c>
      <c r="B101" s="2">
        <f t="shared" si="4"/>
        <v>20</v>
      </c>
      <c r="C101" s="2" t="str">
        <f ca="1">IF((OFFSET('384 Well qPCR Layout'!A$6, 0, Sheet3!B39))="", "",  OFFSET('384 Well qPCR Layout'!A$6, 0, Sheet3!B39))</f>
        <v/>
      </c>
      <c r="D101" s="22"/>
      <c r="E101" s="22"/>
      <c r="F101" s="57" t="s">
        <v>252</v>
      </c>
      <c r="O101" s="5"/>
    </row>
    <row r="102" spans="1:15" x14ac:dyDescent="0.2">
      <c r="A102" s="2" t="str">
        <f t="shared" si="3"/>
        <v>D</v>
      </c>
      <c r="B102" s="2">
        <f t="shared" si="4"/>
        <v>21</v>
      </c>
      <c r="C102" s="2" t="str">
        <f ca="1">IF((OFFSET('384 Well qPCR Layout'!A$6, 0, Sheet3!B40))="", "",  OFFSET('384 Well qPCR Layout'!A$6, 0, Sheet3!B40))</f>
        <v/>
      </c>
      <c r="D102" s="22"/>
      <c r="E102" s="22"/>
      <c r="F102" s="57" t="s">
        <v>252</v>
      </c>
      <c r="O102" s="5"/>
    </row>
    <row r="103" spans="1:15" x14ac:dyDescent="0.2">
      <c r="A103" s="2" t="str">
        <f t="shared" si="3"/>
        <v>D</v>
      </c>
      <c r="B103" s="2">
        <f t="shared" si="4"/>
        <v>22</v>
      </c>
      <c r="C103" s="2" t="str">
        <f ca="1">IF((OFFSET('384 Well qPCR Layout'!A$6, 0, Sheet3!B41))="", "",  OFFSET('384 Well qPCR Layout'!A$6, 0, Sheet3!B41))</f>
        <v/>
      </c>
      <c r="D103" s="22"/>
      <c r="E103" s="22"/>
      <c r="F103" s="57">
        <v>5.6030001640319824</v>
      </c>
      <c r="O103" s="5"/>
    </row>
    <row r="104" spans="1:15" x14ac:dyDescent="0.2">
      <c r="A104" s="2" t="str">
        <f t="shared" si="3"/>
        <v>D</v>
      </c>
      <c r="B104" s="2">
        <f t="shared" si="4"/>
        <v>23</v>
      </c>
      <c r="C104" s="2" t="str">
        <f ca="1">IF((OFFSET('384 Well qPCR Layout'!A$6, 0, Sheet3!B42))="", "",  OFFSET('384 Well qPCR Layout'!A$6, 0, Sheet3!B42))</f>
        <v/>
      </c>
      <c r="D104" s="22"/>
      <c r="E104" s="22"/>
      <c r="F104" s="57">
        <v>6.8530001640319824</v>
      </c>
    </row>
    <row r="105" spans="1:15" x14ac:dyDescent="0.2">
      <c r="A105" s="2" t="str">
        <f t="shared" si="3"/>
        <v>D</v>
      </c>
      <c r="B105" s="2">
        <f t="shared" si="4"/>
        <v>24</v>
      </c>
      <c r="C105" s="2" t="str">
        <f ca="1">IF((OFFSET('384 Well qPCR Layout'!A$6, 0, Sheet3!B43))="", "",  OFFSET('384 Well qPCR Layout'!A$6, 0, Sheet3!B43))</f>
        <v>Standard 2</v>
      </c>
      <c r="D105" s="22"/>
      <c r="E105" s="22"/>
      <c r="F105" s="57">
        <v>12.718999862670898</v>
      </c>
      <c r="O105" s="5"/>
    </row>
    <row r="106" spans="1:15" x14ac:dyDescent="0.2">
      <c r="A106" s="2" t="str">
        <f t="shared" si="3"/>
        <v>E</v>
      </c>
      <c r="B106" s="2">
        <f t="shared" si="4"/>
        <v>1</v>
      </c>
      <c r="C106" s="2" t="str">
        <f ca="1">IF((OFFSET('384 Well qPCR Layout'!A$7, 0, Sheet3!B20))="", "",  OFFSET('384 Well qPCR Layout'!A$7, 0, Sheet3!B20))</f>
        <v>2AP7 (1:1000)</v>
      </c>
      <c r="D106" s="22"/>
      <c r="E106" s="22"/>
      <c r="F106" s="57">
        <v>8.5799999237060547</v>
      </c>
      <c r="O106" s="5"/>
    </row>
    <row r="107" spans="1:15" x14ac:dyDescent="0.2">
      <c r="A107" s="2" t="str">
        <f t="shared" si="3"/>
        <v>E</v>
      </c>
      <c r="B107" s="2">
        <f t="shared" si="4"/>
        <v>2</v>
      </c>
      <c r="C107" s="2" t="str">
        <f ca="1">IF((OFFSET('384 Well qPCR Layout'!A$7, 0, Sheet3!B21))="", "",  OFFSET('384 Well qPCR Layout'!A$7, 0, Sheet3!B21))</f>
        <v/>
      </c>
      <c r="D107" s="22"/>
      <c r="E107" s="22"/>
      <c r="F107" s="56">
        <v>10.592000007629395</v>
      </c>
      <c r="O107" s="5"/>
    </row>
    <row r="108" spans="1:15" x14ac:dyDescent="0.2">
      <c r="A108" s="2" t="str">
        <f t="shared" si="3"/>
        <v>E</v>
      </c>
      <c r="B108" s="2">
        <f t="shared" si="4"/>
        <v>3</v>
      </c>
      <c r="C108" s="2" t="str">
        <f ca="1">IF((OFFSET('384 Well qPCR Layout'!A$7, 0, Sheet3!B22))="", "",  OFFSET('384 Well qPCR Layout'!A$7, 0, Sheet3!B22))</f>
        <v>2AP15 (1:1000)</v>
      </c>
      <c r="D108" s="22"/>
      <c r="E108" s="22"/>
      <c r="F108" s="57">
        <v>8.0200004577636719</v>
      </c>
      <c r="O108" s="5"/>
    </row>
    <row r="109" spans="1:15" x14ac:dyDescent="0.2">
      <c r="A109" s="2" t="str">
        <f t="shared" si="3"/>
        <v>E</v>
      </c>
      <c r="B109" s="2">
        <f t="shared" si="4"/>
        <v>4</v>
      </c>
      <c r="C109" s="2" t="str">
        <f ca="1">IF((OFFSET('384 Well qPCR Layout'!A$7, 0, Sheet3!B23))="", "",  OFFSET('384 Well qPCR Layout'!A$7, 0, Sheet3!B23))</f>
        <v/>
      </c>
      <c r="D109" s="22"/>
      <c r="E109" s="22"/>
      <c r="F109" s="57">
        <v>7.8850002288818359</v>
      </c>
      <c r="O109" s="5"/>
    </row>
    <row r="110" spans="1:15" x14ac:dyDescent="0.2">
      <c r="A110" s="2" t="str">
        <f t="shared" si="3"/>
        <v>E</v>
      </c>
      <c r="B110" s="2">
        <f t="shared" si="4"/>
        <v>5</v>
      </c>
      <c r="C110" s="2" t="str">
        <f ca="1">IF((OFFSET('384 Well qPCR Layout'!A$7, 0, Sheet3!B24))="", "",  OFFSET('384 Well qPCR Layout'!A$7, 0, Sheet3!B24))</f>
        <v>2AP23 (1:1000)</v>
      </c>
      <c r="D110" s="22"/>
      <c r="E110" s="22"/>
      <c r="F110" s="56">
        <v>10.314000129699707</v>
      </c>
      <c r="O110" s="5"/>
    </row>
    <row r="111" spans="1:15" x14ac:dyDescent="0.2">
      <c r="A111" s="2" t="str">
        <f t="shared" si="3"/>
        <v>E</v>
      </c>
      <c r="B111" s="2">
        <f t="shared" si="4"/>
        <v>6</v>
      </c>
      <c r="C111" s="2" t="str">
        <f ca="1">IF((OFFSET('384 Well qPCR Layout'!A$7, 0, Sheet3!B25))="", "",  OFFSET('384 Well qPCR Layout'!A$7, 0, Sheet3!B25))</f>
        <v/>
      </c>
      <c r="D111" s="22"/>
      <c r="E111" s="22"/>
      <c r="F111" s="57" t="s">
        <v>252</v>
      </c>
      <c r="O111" s="5"/>
    </row>
    <row r="112" spans="1:15" x14ac:dyDescent="0.2">
      <c r="A112" s="2" t="str">
        <f t="shared" si="3"/>
        <v>E</v>
      </c>
      <c r="B112" s="2">
        <f t="shared" si="4"/>
        <v>7</v>
      </c>
      <c r="C112" s="2" t="str">
        <f ca="1">IF((OFFSET('384 Well qPCR Layout'!A$7, 0, Sheet3!B26))="", "",  OFFSET('384 Well qPCR Layout'!A$7, 0, Sheet3!B26))</f>
        <v>L0P5 (1:1000)</v>
      </c>
      <c r="D112" s="22"/>
      <c r="E112" s="22"/>
      <c r="F112" s="57">
        <v>8.4659996032714844</v>
      </c>
    </row>
    <row r="113" spans="1:15" x14ac:dyDescent="0.2">
      <c r="A113" s="2" t="str">
        <f t="shared" si="3"/>
        <v>E</v>
      </c>
      <c r="B113" s="2">
        <f t="shared" si="4"/>
        <v>8</v>
      </c>
      <c r="C113" s="2" t="str">
        <f ca="1">IF((OFFSET('384 Well qPCR Layout'!A$7, 0, Sheet3!B27))="", "",  OFFSET('384 Well qPCR Layout'!A$7, 0, Sheet3!B27))</f>
        <v/>
      </c>
      <c r="D113" s="22"/>
      <c r="E113" s="22"/>
      <c r="F113" s="57">
        <v>9.8730001449584961</v>
      </c>
      <c r="O113" s="5"/>
    </row>
    <row r="114" spans="1:15" x14ac:dyDescent="0.2">
      <c r="A114" s="2" t="str">
        <f t="shared" si="3"/>
        <v>E</v>
      </c>
      <c r="B114" s="2">
        <f t="shared" si="4"/>
        <v>9</v>
      </c>
      <c r="C114" s="2" t="str">
        <f ca="1">IF((OFFSET('384 Well qPCR Layout'!A$7, 0, Sheet3!B28))="", "",  OFFSET('384 Well qPCR Layout'!A$7, 0, Sheet3!B28))</f>
        <v>L0P13 (1:1000)</v>
      </c>
      <c r="D114" s="22"/>
      <c r="E114" s="22"/>
      <c r="F114" s="57">
        <v>8.0600004196166992</v>
      </c>
    </row>
    <row r="115" spans="1:15" x14ac:dyDescent="0.2">
      <c r="A115" s="2" t="str">
        <f t="shared" si="3"/>
        <v>E</v>
      </c>
      <c r="B115" s="2">
        <f t="shared" si="4"/>
        <v>10</v>
      </c>
      <c r="C115" s="2" t="str">
        <f ca="1">IF((OFFSET('384 Well qPCR Layout'!A$7, 0, Sheet3!B29))="", "",  OFFSET('384 Well qPCR Layout'!A$7, 0, Sheet3!B29))</f>
        <v/>
      </c>
      <c r="D115" s="22"/>
      <c r="E115" s="22"/>
      <c r="F115" s="56">
        <v>10.277000427246094</v>
      </c>
      <c r="O115" s="5"/>
    </row>
    <row r="116" spans="1:15" x14ac:dyDescent="0.2">
      <c r="A116" s="2" t="str">
        <f t="shared" si="3"/>
        <v>E</v>
      </c>
      <c r="B116" s="2">
        <f t="shared" si="4"/>
        <v>11</v>
      </c>
      <c r="C116" s="2" t="str">
        <f ca="1">IF((OFFSET('384 Well qPCR Layout'!A$7, 0, Sheet3!B30))="", "",  OFFSET('384 Well qPCR Layout'!A$7, 0, Sheet3!B30))</f>
        <v>L0P21 (1:1000)</v>
      </c>
      <c r="D116" s="22"/>
      <c r="E116" s="22"/>
      <c r="F116" s="56">
        <v>8.4750003814697266</v>
      </c>
      <c r="O116" s="5"/>
    </row>
    <row r="117" spans="1:15" x14ac:dyDescent="0.2">
      <c r="A117" s="2" t="str">
        <f t="shared" si="3"/>
        <v>E</v>
      </c>
      <c r="B117" s="2">
        <f t="shared" si="4"/>
        <v>12</v>
      </c>
      <c r="C117" s="2" t="str">
        <f ca="1">IF((OFFSET('384 Well qPCR Layout'!A$7, 0, Sheet3!B31))="", "",  OFFSET('384 Well qPCR Layout'!A$7, 0, Sheet3!B31))</f>
        <v/>
      </c>
      <c r="D117" s="22"/>
      <c r="E117" s="22"/>
      <c r="F117" s="56">
        <v>7.6040000915527344</v>
      </c>
      <c r="O117" s="5"/>
    </row>
    <row r="118" spans="1:15" x14ac:dyDescent="0.2">
      <c r="A118" s="2" t="str">
        <f t="shared" si="3"/>
        <v>E</v>
      </c>
      <c r="B118" s="2">
        <f t="shared" si="4"/>
        <v>13</v>
      </c>
      <c r="C118" s="2" t="str">
        <f ca="1">IF((OFFSET('384 Well qPCR Layout'!A$7, 0, Sheet3!B32))="", "",  OFFSET('384 Well qPCR Layout'!A$7, 0, Sheet3!B32))</f>
        <v>L0P29 (1:1000)</v>
      </c>
      <c r="D118" s="22"/>
      <c r="E118" s="22"/>
      <c r="F118" s="57">
        <v>7.9780001640319824</v>
      </c>
      <c r="O118" s="5"/>
    </row>
    <row r="119" spans="1:15" x14ac:dyDescent="0.2">
      <c r="A119" s="2" t="str">
        <f t="shared" si="3"/>
        <v>E</v>
      </c>
      <c r="B119" s="2">
        <f t="shared" si="4"/>
        <v>14</v>
      </c>
      <c r="C119" s="2" t="str">
        <f ca="1">IF((OFFSET('384 Well qPCR Layout'!A$7, 0, Sheet3!B33))="", "",  OFFSET('384 Well qPCR Layout'!A$7, 0, Sheet3!B33))</f>
        <v/>
      </c>
      <c r="D119" s="22"/>
      <c r="E119" s="22"/>
      <c r="F119" s="56">
        <v>9.3219995498657227</v>
      </c>
      <c r="O119" s="5"/>
    </row>
    <row r="120" spans="1:15" x14ac:dyDescent="0.2">
      <c r="A120" s="2" t="str">
        <f t="shared" si="3"/>
        <v>E</v>
      </c>
      <c r="B120" s="2">
        <f t="shared" si="4"/>
        <v>15</v>
      </c>
      <c r="C120" s="2" t="str">
        <f ca="1">IF((OFFSET('384 Well qPCR Layout'!A$7, 0, Sheet3!B34))="", "",  OFFSET('384 Well qPCR Layout'!A$7, 0, Sheet3!B34))</f>
        <v>BarLP7C (1:1000)</v>
      </c>
      <c r="D120" s="22"/>
      <c r="E120" s="22"/>
      <c r="F120" s="57">
        <v>7.4289999008178711</v>
      </c>
      <c r="O120" s="5"/>
    </row>
    <row r="121" spans="1:15" x14ac:dyDescent="0.2">
      <c r="A121" s="2" t="str">
        <f t="shared" si="3"/>
        <v>E</v>
      </c>
      <c r="B121" s="2">
        <f t="shared" si="4"/>
        <v>16</v>
      </c>
      <c r="C121" s="2" t="str">
        <f ca="1">IF((OFFSET('384 Well qPCR Layout'!A$7, 0, Sheet3!B35))="", "",  OFFSET('384 Well qPCR Layout'!A$7, 0, Sheet3!B35))</f>
        <v/>
      </c>
      <c r="D121" s="22"/>
      <c r="E121" s="22"/>
      <c r="F121" s="56" t="s">
        <v>252</v>
      </c>
      <c r="O121" s="5"/>
    </row>
    <row r="122" spans="1:15" x14ac:dyDescent="0.2">
      <c r="A122" s="2" t="str">
        <f t="shared" si="3"/>
        <v>E</v>
      </c>
      <c r="B122" s="2">
        <f t="shared" si="4"/>
        <v>17</v>
      </c>
      <c r="C122" s="2" t="str">
        <f ca="1">IF((OFFSET('384 Well qPCR Layout'!A$7, 0, Sheet3!B36))="", "",  OFFSET('384 Well qPCR Layout'!A$7, 0, Sheet3!B36))</f>
        <v>BarLP15C (1:1000)</v>
      </c>
      <c r="D122" s="22"/>
      <c r="E122" s="22"/>
      <c r="F122" s="56">
        <v>7.7769999504089355</v>
      </c>
      <c r="O122" s="5"/>
    </row>
    <row r="123" spans="1:15" x14ac:dyDescent="0.2">
      <c r="A123" s="2" t="str">
        <f t="shared" si="3"/>
        <v>E</v>
      </c>
      <c r="B123" s="2">
        <f t="shared" si="4"/>
        <v>18</v>
      </c>
      <c r="C123" s="2" t="str">
        <f ca="1">IF((OFFSET('384 Well qPCR Layout'!A$7, 0, Sheet3!B37))="", "",  OFFSET('384 Well qPCR Layout'!A$7, 0, Sheet3!B37))</f>
        <v/>
      </c>
      <c r="D123" s="22"/>
      <c r="E123" s="22"/>
      <c r="F123" s="56" t="s">
        <v>252</v>
      </c>
      <c r="O123" s="5"/>
    </row>
    <row r="124" spans="1:15" x14ac:dyDescent="0.2">
      <c r="A124" s="2" t="str">
        <f t="shared" si="3"/>
        <v>E</v>
      </c>
      <c r="B124" s="2">
        <f t="shared" si="4"/>
        <v>19</v>
      </c>
      <c r="C124" s="2" t="str">
        <f ca="1">IF((OFFSET('384 Well qPCR Layout'!A$7, 0, Sheet3!B38))="", "",  OFFSET('384 Well qPCR Layout'!A$7, 0, Sheet3!B38))</f>
        <v>BarLP9H (1:1000)</v>
      </c>
      <c r="D124" s="22"/>
      <c r="E124" s="22"/>
      <c r="F124" s="57">
        <v>8.1210002899169922</v>
      </c>
      <c r="O124" s="5"/>
    </row>
    <row r="125" spans="1:15" x14ac:dyDescent="0.2">
      <c r="A125" s="2" t="str">
        <f t="shared" si="3"/>
        <v>E</v>
      </c>
      <c r="B125" s="2">
        <f t="shared" si="4"/>
        <v>20</v>
      </c>
      <c r="C125" s="2" t="str">
        <f ca="1">IF((OFFSET('384 Well qPCR Layout'!A$7, 0, Sheet3!B39))="", "",  OFFSET('384 Well qPCR Layout'!A$7, 0, Sheet3!B39))</f>
        <v/>
      </c>
      <c r="D125" s="22"/>
      <c r="E125" s="22"/>
      <c r="F125" s="56" t="s">
        <v>252</v>
      </c>
      <c r="O125" s="5"/>
    </row>
    <row r="126" spans="1:15" x14ac:dyDescent="0.2">
      <c r="A126" s="2" t="str">
        <f t="shared" si="3"/>
        <v>E</v>
      </c>
      <c r="B126" s="2">
        <f t="shared" si="4"/>
        <v>21</v>
      </c>
      <c r="C126" s="2" t="str">
        <f ca="1">IF((OFFSET('384 Well qPCR Layout'!A$7, 0, Sheet3!B40))="", "",  OFFSET('384 Well qPCR Layout'!A$7, 0, Sheet3!B40))</f>
        <v>BarLP17H (1:1000)</v>
      </c>
      <c r="D126" s="22"/>
      <c r="E126" s="22"/>
      <c r="F126" s="56">
        <v>7.0710000991821289</v>
      </c>
    </row>
    <row r="127" spans="1:15" x14ac:dyDescent="0.2">
      <c r="A127" s="2" t="str">
        <f t="shared" si="3"/>
        <v>E</v>
      </c>
      <c r="B127" s="2">
        <f t="shared" si="4"/>
        <v>22</v>
      </c>
      <c r="C127" s="2" t="str">
        <f ca="1">IF((OFFSET('384 Well qPCR Layout'!A$7, 0, Sheet3!B41))="", "",  OFFSET('384 Well qPCR Layout'!A$7, 0, Sheet3!B41))</f>
        <v/>
      </c>
      <c r="D127" s="22"/>
      <c r="E127" s="22"/>
      <c r="F127" s="57" t="s">
        <v>252</v>
      </c>
    </row>
    <row r="128" spans="1:15" x14ac:dyDescent="0.2">
      <c r="A128" s="2" t="str">
        <f t="shared" si="3"/>
        <v>E</v>
      </c>
      <c r="B128" s="2">
        <f t="shared" si="4"/>
        <v>23</v>
      </c>
      <c r="C128" s="2" t="str">
        <f ca="1">IF((OFFSET('384 Well qPCR Layout'!A$7, 0, Sheet3!B42))="", "",  OFFSET('384 Well qPCR Layout'!A$7, 0, Sheet3!B42))</f>
        <v>BarL (1:1000)</v>
      </c>
      <c r="D128" s="22"/>
      <c r="E128" s="22"/>
      <c r="F128" s="57">
        <v>7.9130001068115234</v>
      </c>
    </row>
    <row r="129" spans="1:15" x14ac:dyDescent="0.2">
      <c r="A129" s="2" t="str">
        <f t="shared" si="3"/>
        <v>E</v>
      </c>
      <c r="B129" s="2">
        <f t="shared" si="4"/>
        <v>24</v>
      </c>
      <c r="C129" s="2" t="str">
        <f ca="1">IF((OFFSET('384 Well qPCR Layout'!A$7, 0, Sheet3!B43))="", "",  OFFSET('384 Well qPCR Layout'!A$7, 0, Sheet3!B43))</f>
        <v/>
      </c>
      <c r="D129" s="22"/>
      <c r="E129" s="22"/>
      <c r="F129" s="57" t="s">
        <v>252</v>
      </c>
      <c r="O129" s="5"/>
    </row>
    <row r="130" spans="1:15" x14ac:dyDescent="0.2">
      <c r="A130" s="2" t="str">
        <f t="shared" si="3"/>
        <v>F</v>
      </c>
      <c r="B130" s="2">
        <f t="shared" si="4"/>
        <v>1</v>
      </c>
      <c r="C130" s="2" t="str">
        <f ca="1">IF((OFFSET('384 Well qPCR Layout'!A$8, 0, Sheet3!B20))="", "",  OFFSET('384 Well qPCR Layout'!A$8, 0, Sheet3!B20))</f>
        <v/>
      </c>
      <c r="D130" s="22"/>
      <c r="E130" s="22"/>
      <c r="F130" s="57">
        <v>15.421999931335449</v>
      </c>
      <c r="O130" s="5"/>
    </row>
    <row r="131" spans="1:15" x14ac:dyDescent="0.2">
      <c r="A131" s="2" t="str">
        <f t="shared" si="3"/>
        <v>F</v>
      </c>
      <c r="B131" s="2">
        <f t="shared" si="4"/>
        <v>2</v>
      </c>
      <c r="C131" s="2" t="str">
        <f ca="1">IF((OFFSET('384 Well qPCR Layout'!A$8, 0, Sheet3!B21))="", "",  OFFSET('384 Well qPCR Layout'!A$8, 0, Sheet3!B21))</f>
        <v/>
      </c>
      <c r="D131" s="22"/>
      <c r="E131" s="22"/>
      <c r="F131" s="57" t="s">
        <v>252</v>
      </c>
      <c r="O131" s="5"/>
    </row>
    <row r="132" spans="1:15" x14ac:dyDescent="0.2">
      <c r="A132" s="2" t="str">
        <f t="shared" si="3"/>
        <v>F</v>
      </c>
      <c r="B132" s="2">
        <f t="shared" si="4"/>
        <v>3</v>
      </c>
      <c r="C132" s="2" t="str">
        <f ca="1">IF((OFFSET('384 Well qPCR Layout'!A$8, 0, Sheet3!B22))="", "",  OFFSET('384 Well qPCR Layout'!A$8, 0, Sheet3!B22))</f>
        <v/>
      </c>
      <c r="D132" s="22"/>
      <c r="E132" s="22"/>
      <c r="F132" s="57">
        <v>11.449000358581543</v>
      </c>
      <c r="O132" s="5"/>
    </row>
    <row r="133" spans="1:15" x14ac:dyDescent="0.2">
      <c r="A133" s="2" t="str">
        <f t="shared" si="3"/>
        <v>F</v>
      </c>
      <c r="B133" s="2">
        <f t="shared" si="4"/>
        <v>4</v>
      </c>
      <c r="C133" s="2" t="str">
        <f ca="1">IF((OFFSET('384 Well qPCR Layout'!A$8, 0, Sheet3!B23))="", "",  OFFSET('384 Well qPCR Layout'!A$8, 0, Sheet3!B23))</f>
        <v/>
      </c>
      <c r="D133" s="22"/>
      <c r="E133" s="22"/>
      <c r="F133" s="57">
        <v>13.107999801635742</v>
      </c>
      <c r="O133" s="5"/>
    </row>
    <row r="134" spans="1:15" x14ac:dyDescent="0.2">
      <c r="A134" s="2" t="str">
        <f t="shared" si="3"/>
        <v>F</v>
      </c>
      <c r="B134" s="2">
        <f t="shared" si="4"/>
        <v>5</v>
      </c>
      <c r="C134" s="2" t="str">
        <f ca="1">IF((OFFSET('384 Well qPCR Layout'!A$8, 0, Sheet3!B24))="", "",  OFFSET('384 Well qPCR Layout'!A$8, 0, Sheet3!B24))</f>
        <v/>
      </c>
      <c r="D134" s="22"/>
      <c r="E134" s="22"/>
      <c r="F134" s="57">
        <v>8.6000003814697266</v>
      </c>
      <c r="O134" s="5"/>
    </row>
    <row r="135" spans="1:15" x14ac:dyDescent="0.2">
      <c r="A135" s="2" t="str">
        <f t="shared" si="3"/>
        <v>F</v>
      </c>
      <c r="B135" s="2">
        <f t="shared" si="4"/>
        <v>6</v>
      </c>
      <c r="C135" s="2" t="str">
        <f ca="1">IF((OFFSET('384 Well qPCR Layout'!A$8, 0, Sheet3!B25))="", "",  OFFSET('384 Well qPCR Layout'!A$8, 0, Sheet3!B25))</f>
        <v/>
      </c>
      <c r="D135" s="22"/>
      <c r="E135" s="22"/>
      <c r="F135" s="57">
        <v>14.302000045776367</v>
      </c>
      <c r="K135" s="18"/>
      <c r="O135" s="5"/>
    </row>
    <row r="136" spans="1:15" x14ac:dyDescent="0.2">
      <c r="A136" s="2" t="str">
        <f t="shared" si="3"/>
        <v>F</v>
      </c>
      <c r="B136" s="2">
        <f t="shared" si="4"/>
        <v>7</v>
      </c>
      <c r="C136" s="2" t="str">
        <f ca="1">IF((OFFSET('384 Well qPCR Layout'!A$8, 0, Sheet3!B26))="", "",  OFFSET('384 Well qPCR Layout'!A$8, 0, Sheet3!B26))</f>
        <v/>
      </c>
      <c r="D136" s="22"/>
      <c r="E136" s="22"/>
      <c r="F136" s="57" t="s">
        <v>252</v>
      </c>
      <c r="K136" s="18"/>
    </row>
    <row r="137" spans="1:15" x14ac:dyDescent="0.2">
      <c r="A137" s="2" t="str">
        <f t="shared" si="3"/>
        <v>F</v>
      </c>
      <c r="B137" s="2">
        <f t="shared" si="4"/>
        <v>8</v>
      </c>
      <c r="C137" s="2" t="str">
        <f ca="1">IF((OFFSET('384 Well qPCR Layout'!A$8, 0, Sheet3!B27))="", "",  OFFSET('384 Well qPCR Layout'!A$8, 0, Sheet3!B27))</f>
        <v/>
      </c>
      <c r="D137" s="22"/>
      <c r="E137" s="22"/>
      <c r="F137" s="57">
        <v>5.8509998321533203</v>
      </c>
      <c r="K137" s="18"/>
      <c r="O137" s="5"/>
    </row>
    <row r="138" spans="1:15" x14ac:dyDescent="0.2">
      <c r="A138" s="2" t="str">
        <f t="shared" si="3"/>
        <v>F</v>
      </c>
      <c r="B138" s="2">
        <f t="shared" si="4"/>
        <v>9</v>
      </c>
      <c r="C138" s="2" t="str">
        <f ca="1">IF((OFFSET('384 Well qPCR Layout'!A$8, 0, Sheet3!B28))="", "",  OFFSET('384 Well qPCR Layout'!A$8, 0, Sheet3!B28))</f>
        <v/>
      </c>
      <c r="D138" s="22"/>
      <c r="E138" s="22"/>
      <c r="F138" s="57">
        <v>10.152999877929688</v>
      </c>
      <c r="K138" s="18"/>
    </row>
    <row r="139" spans="1:15" x14ac:dyDescent="0.2">
      <c r="A139" s="2" t="str">
        <f t="shared" si="3"/>
        <v>F</v>
      </c>
      <c r="B139" s="2">
        <f t="shared" si="4"/>
        <v>10</v>
      </c>
      <c r="C139" s="2" t="str">
        <f ca="1">IF((OFFSET('384 Well qPCR Layout'!A$8, 0, Sheet3!B29))="", "",  OFFSET('384 Well qPCR Layout'!A$8, 0, Sheet3!B29))</f>
        <v/>
      </c>
      <c r="D139" s="22"/>
      <c r="E139" s="22"/>
      <c r="F139" s="57">
        <v>10.961999893188477</v>
      </c>
      <c r="O139" s="5"/>
    </row>
    <row r="140" spans="1:15" x14ac:dyDescent="0.2">
      <c r="A140" s="2" t="str">
        <f t="shared" si="3"/>
        <v>F</v>
      </c>
      <c r="B140" s="2">
        <f t="shared" si="4"/>
        <v>11</v>
      </c>
      <c r="C140" s="2" t="str">
        <f ca="1">IF((OFFSET('384 Well qPCR Layout'!A$8, 0, Sheet3!B30))="", "",  OFFSET('384 Well qPCR Layout'!A$8, 0, Sheet3!B30))</f>
        <v/>
      </c>
      <c r="D140" s="22"/>
      <c r="E140" s="22"/>
      <c r="F140" s="57">
        <v>11.508000373840332</v>
      </c>
      <c r="O140" s="5"/>
    </row>
    <row r="141" spans="1:15" x14ac:dyDescent="0.2">
      <c r="A141" s="2" t="str">
        <f t="shared" si="3"/>
        <v>F</v>
      </c>
      <c r="B141" s="2">
        <f t="shared" si="4"/>
        <v>12</v>
      </c>
      <c r="C141" s="2" t="str">
        <f ca="1">IF((OFFSET('384 Well qPCR Layout'!A$8, 0, Sheet3!B31))="", "",  OFFSET('384 Well qPCR Layout'!A$8, 0, Sheet3!B31))</f>
        <v/>
      </c>
      <c r="D141" s="22"/>
      <c r="E141" s="22"/>
      <c r="F141" s="57">
        <v>11.385000228881836</v>
      </c>
      <c r="O141" s="5"/>
    </row>
    <row r="142" spans="1:15" x14ac:dyDescent="0.2">
      <c r="A142" s="2" t="str">
        <f t="shared" si="3"/>
        <v>F</v>
      </c>
      <c r="B142" s="2">
        <f t="shared" si="4"/>
        <v>13</v>
      </c>
      <c r="C142" s="2" t="str">
        <f ca="1">IF((OFFSET('384 Well qPCR Layout'!A$8, 0, Sheet3!B32))="", "",  OFFSET('384 Well qPCR Layout'!A$8, 0, Sheet3!B32))</f>
        <v/>
      </c>
      <c r="D142" s="22"/>
      <c r="E142" s="22"/>
      <c r="F142" s="57" t="s">
        <v>252</v>
      </c>
      <c r="O142" s="5"/>
    </row>
    <row r="143" spans="1:15" x14ac:dyDescent="0.2">
      <c r="A143" s="2" t="str">
        <f t="shared" si="3"/>
        <v>F</v>
      </c>
      <c r="B143" s="2">
        <f t="shared" si="4"/>
        <v>14</v>
      </c>
      <c r="C143" s="2" t="str">
        <f ca="1">IF((OFFSET('384 Well qPCR Layout'!A$8, 0, Sheet3!B33))="", "",  OFFSET('384 Well qPCR Layout'!A$8, 0, Sheet3!B33))</f>
        <v/>
      </c>
      <c r="D143" s="22"/>
      <c r="E143" s="22"/>
      <c r="F143" s="57" t="s">
        <v>252</v>
      </c>
      <c r="O143" s="5"/>
    </row>
    <row r="144" spans="1:15" x14ac:dyDescent="0.2">
      <c r="A144" s="2" t="str">
        <f t="shared" si="3"/>
        <v>F</v>
      </c>
      <c r="B144" s="2">
        <f t="shared" si="4"/>
        <v>15</v>
      </c>
      <c r="C144" s="2" t="str">
        <f ca="1">IF((OFFSET('384 Well qPCR Layout'!A$8, 0, Sheet3!B34))="", "",  OFFSET('384 Well qPCR Layout'!A$8, 0, Sheet3!B34))</f>
        <v/>
      </c>
      <c r="D144" s="22"/>
      <c r="E144" s="22"/>
      <c r="F144" s="57">
        <v>8.0030002593994141</v>
      </c>
      <c r="O144" s="5"/>
    </row>
    <row r="145" spans="1:15" x14ac:dyDescent="0.2">
      <c r="A145" s="2" t="str">
        <f t="shared" si="3"/>
        <v>F</v>
      </c>
      <c r="B145" s="2">
        <f t="shared" si="4"/>
        <v>16</v>
      </c>
      <c r="C145" s="2" t="str">
        <f ca="1">IF((OFFSET('384 Well qPCR Layout'!A$8, 0, Sheet3!B35))="", "",  OFFSET('384 Well qPCR Layout'!A$8, 0, Sheet3!B35))</f>
        <v/>
      </c>
      <c r="D145" s="22"/>
      <c r="E145" s="22"/>
      <c r="F145" s="57" t="s">
        <v>252</v>
      </c>
      <c r="O145" s="5"/>
    </row>
    <row r="146" spans="1:15" x14ac:dyDescent="0.2">
      <c r="A146" s="2" t="str">
        <f t="shared" si="3"/>
        <v>F</v>
      </c>
      <c r="B146" s="2">
        <f t="shared" si="4"/>
        <v>17</v>
      </c>
      <c r="C146" s="2" t="str">
        <f ca="1">IF((OFFSET('384 Well qPCR Layout'!A$8, 0, Sheet3!B36))="", "",  OFFSET('384 Well qPCR Layout'!A$8, 0, Sheet3!B36))</f>
        <v/>
      </c>
      <c r="D146" s="22"/>
      <c r="E146" s="22"/>
      <c r="F146" s="57">
        <v>12.52400016784668</v>
      </c>
      <c r="O146" s="5"/>
    </row>
    <row r="147" spans="1:15" x14ac:dyDescent="0.2">
      <c r="A147" s="2" t="str">
        <f t="shared" si="3"/>
        <v>F</v>
      </c>
      <c r="B147" s="2">
        <f t="shared" si="4"/>
        <v>18</v>
      </c>
      <c r="C147" s="2" t="str">
        <f ca="1">IF((OFFSET('384 Well qPCR Layout'!A$8, 0, Sheet3!B37))="", "",  OFFSET('384 Well qPCR Layout'!A$8, 0, Sheet3!B37))</f>
        <v/>
      </c>
      <c r="D147" s="22"/>
      <c r="E147" s="22"/>
      <c r="F147" s="57" t="s">
        <v>252</v>
      </c>
      <c r="O147" s="5"/>
    </row>
    <row r="148" spans="1:15" x14ac:dyDescent="0.2">
      <c r="A148" s="2" t="str">
        <f t="shared" si="3"/>
        <v>F</v>
      </c>
      <c r="B148" s="2">
        <f t="shared" si="4"/>
        <v>19</v>
      </c>
      <c r="C148" s="2" t="str">
        <f ca="1">IF((OFFSET('384 Well qPCR Layout'!A$8, 0, Sheet3!B38))="", "",  OFFSET('384 Well qPCR Layout'!A$8, 0, Sheet3!B38))</f>
        <v/>
      </c>
      <c r="D148" s="22"/>
      <c r="E148" s="22"/>
      <c r="F148" s="57">
        <v>6.940000057220459</v>
      </c>
      <c r="O148" s="5"/>
    </row>
    <row r="149" spans="1:15" x14ac:dyDescent="0.2">
      <c r="A149" s="2" t="str">
        <f t="shared" si="3"/>
        <v>F</v>
      </c>
      <c r="B149" s="2">
        <f t="shared" si="4"/>
        <v>20</v>
      </c>
      <c r="C149" s="2" t="str">
        <f ca="1">IF((OFFSET('384 Well qPCR Layout'!A$8, 0, Sheet3!B39))="", "",  OFFSET('384 Well qPCR Layout'!A$8, 0, Sheet3!B39))</f>
        <v/>
      </c>
      <c r="D149" s="22"/>
      <c r="E149" s="22"/>
      <c r="F149" s="57" t="s">
        <v>252</v>
      </c>
      <c r="O149" s="5"/>
    </row>
    <row r="150" spans="1:15" x14ac:dyDescent="0.2">
      <c r="A150" s="2" t="str">
        <f t="shared" si="3"/>
        <v>F</v>
      </c>
      <c r="B150" s="2">
        <f t="shared" si="4"/>
        <v>21</v>
      </c>
      <c r="C150" s="2" t="str">
        <f ca="1">IF((OFFSET('384 Well qPCR Layout'!A$8, 0, Sheet3!B40))="", "",  OFFSET('384 Well qPCR Layout'!A$8, 0, Sheet3!B40))</f>
        <v/>
      </c>
      <c r="D150" s="22"/>
      <c r="E150" s="22"/>
      <c r="F150" s="57" t="s">
        <v>252</v>
      </c>
    </row>
    <row r="151" spans="1:15" x14ac:dyDescent="0.2">
      <c r="A151" s="2" t="str">
        <f t="shared" si="3"/>
        <v>F</v>
      </c>
      <c r="B151" s="2">
        <f t="shared" si="4"/>
        <v>22</v>
      </c>
      <c r="C151" s="2" t="str">
        <f ca="1">IF((OFFSET('384 Well qPCR Layout'!A$8, 0, Sheet3!B41))="", "",  OFFSET('384 Well qPCR Layout'!A$8, 0, Sheet3!B41))</f>
        <v/>
      </c>
      <c r="D151" s="22"/>
      <c r="E151" s="22"/>
      <c r="F151" s="57">
        <v>9.1440000534057617</v>
      </c>
    </row>
    <row r="152" spans="1:15" x14ac:dyDescent="0.2">
      <c r="A152" s="2" t="str">
        <f t="shared" si="3"/>
        <v>F</v>
      </c>
      <c r="B152" s="2">
        <f t="shared" si="4"/>
        <v>23</v>
      </c>
      <c r="C152" s="2" t="str">
        <f ca="1">IF((OFFSET('384 Well qPCR Layout'!A$8, 0, Sheet3!B42))="", "",  OFFSET('384 Well qPCR Layout'!A$8, 0, Sheet3!B42))</f>
        <v/>
      </c>
      <c r="D152" s="22"/>
      <c r="E152" s="22"/>
      <c r="F152" s="57">
        <v>13.814000129699707</v>
      </c>
    </row>
    <row r="153" spans="1:15" x14ac:dyDescent="0.2">
      <c r="A153" s="2" t="str">
        <f t="shared" si="3"/>
        <v>F</v>
      </c>
      <c r="B153" s="2">
        <f t="shared" si="4"/>
        <v>24</v>
      </c>
      <c r="C153" s="2" t="str">
        <f ca="1">IF((OFFSET('384 Well qPCR Layout'!A$8, 0, Sheet3!B43))="", "",  OFFSET('384 Well qPCR Layout'!A$8, 0, Sheet3!B43))</f>
        <v>Standard 3</v>
      </c>
      <c r="D153" s="22"/>
      <c r="E153" s="22"/>
      <c r="F153" s="57">
        <v>16.128999710083008</v>
      </c>
      <c r="O153" s="5"/>
    </row>
    <row r="154" spans="1:15" x14ac:dyDescent="0.2">
      <c r="A154" s="2" t="str">
        <f t="shared" si="3"/>
        <v>G</v>
      </c>
      <c r="B154" s="2">
        <f t="shared" si="4"/>
        <v>1</v>
      </c>
      <c r="C154" s="2" t="str">
        <f ca="1">IF((OFFSET('384 Well qPCR Layout'!A$9, 0, Sheet3!B20))="", "",  OFFSET('384 Well qPCR Layout'!A$9, 0, Sheet3!B20))</f>
        <v>2AP8 (1:1000)</v>
      </c>
      <c r="D154" s="22"/>
      <c r="E154" s="22"/>
      <c r="F154" s="57">
        <v>7.3979997634887695</v>
      </c>
      <c r="O154" s="5"/>
    </row>
    <row r="155" spans="1:15" x14ac:dyDescent="0.2">
      <c r="A155" s="2" t="str">
        <f t="shared" si="3"/>
        <v>G</v>
      </c>
      <c r="B155" s="2">
        <f t="shared" si="4"/>
        <v>2</v>
      </c>
      <c r="C155" s="2" t="str">
        <f ca="1">IF((OFFSET('384 Well qPCR Layout'!A$9, 0, Sheet3!B21))="", "",  OFFSET('384 Well qPCR Layout'!A$9, 0, Sheet3!B21))</f>
        <v/>
      </c>
      <c r="D155" s="22"/>
      <c r="E155" s="22"/>
      <c r="F155" s="56">
        <v>8.4580001831054688</v>
      </c>
      <c r="O155" s="5"/>
    </row>
    <row r="156" spans="1:15" x14ac:dyDescent="0.2">
      <c r="A156" s="2" t="str">
        <f t="shared" si="3"/>
        <v>G</v>
      </c>
      <c r="B156" s="2">
        <f t="shared" si="4"/>
        <v>3</v>
      </c>
      <c r="C156" s="2" t="str">
        <f ca="1">IF((OFFSET('384 Well qPCR Layout'!A$9, 0, Sheet3!B22))="", "",  OFFSET('384 Well qPCR Layout'!A$9, 0, Sheet3!B22))</f>
        <v>2AP16 (1:1000)</v>
      </c>
      <c r="D156" s="22"/>
      <c r="E156" s="22"/>
      <c r="F156" s="57">
        <v>9</v>
      </c>
      <c r="O156" s="5"/>
    </row>
    <row r="157" spans="1:15" x14ac:dyDescent="0.2">
      <c r="A157" s="2" t="str">
        <f t="shared" si="3"/>
        <v>G</v>
      </c>
      <c r="B157" s="2">
        <f t="shared" si="4"/>
        <v>4</v>
      </c>
      <c r="C157" s="2" t="str">
        <f ca="1">IF((OFFSET('384 Well qPCR Layout'!A$9, 0, Sheet3!B23))="", "",  OFFSET('384 Well qPCR Layout'!A$9, 0, Sheet3!B23))</f>
        <v/>
      </c>
      <c r="D157" s="22"/>
      <c r="E157" s="22"/>
      <c r="F157" s="57">
        <v>6.7610001564025879</v>
      </c>
      <c r="O157" s="5"/>
    </row>
    <row r="158" spans="1:15" x14ac:dyDescent="0.2">
      <c r="A158" s="2" t="str">
        <f t="shared" si="3"/>
        <v>G</v>
      </c>
      <c r="B158" s="2">
        <f t="shared" si="4"/>
        <v>5</v>
      </c>
      <c r="C158" s="2" t="str">
        <f ca="1">IF((OFFSET('384 Well qPCR Layout'!A$9, 0, Sheet3!B24))="", "",  OFFSET('384 Well qPCR Layout'!A$9, 0, Sheet3!B24))</f>
        <v>2AP24 (1:1000)</v>
      </c>
      <c r="D158" s="22"/>
      <c r="E158" s="22"/>
      <c r="F158" s="56">
        <v>7.5</v>
      </c>
      <c r="O158" s="5"/>
    </row>
    <row r="159" spans="1:15" x14ac:dyDescent="0.2">
      <c r="A159" s="2" t="str">
        <f t="shared" si="3"/>
        <v>G</v>
      </c>
      <c r="B159" s="2">
        <f t="shared" si="4"/>
        <v>6</v>
      </c>
      <c r="C159" s="2" t="str">
        <f ca="1">IF((OFFSET('384 Well qPCR Layout'!A$9, 0, Sheet3!B25))="", "",  OFFSET('384 Well qPCR Layout'!A$9, 0, Sheet3!B25))</f>
        <v/>
      </c>
      <c r="D159" s="22"/>
      <c r="E159" s="22"/>
      <c r="F159" s="56">
        <v>28.075000762939453</v>
      </c>
      <c r="O159" s="5"/>
    </row>
    <row r="160" spans="1:15" x14ac:dyDescent="0.2">
      <c r="A160" s="2" t="str">
        <f t="shared" si="3"/>
        <v>G</v>
      </c>
      <c r="B160" s="2">
        <f t="shared" si="4"/>
        <v>7</v>
      </c>
      <c r="C160" s="2" t="str">
        <f ca="1">IF((OFFSET('384 Well qPCR Layout'!A$9, 0, Sheet3!B26))="", "",  OFFSET('384 Well qPCR Layout'!A$9, 0, Sheet3!B26))</f>
        <v>L0P6 (1:1000)</v>
      </c>
      <c r="D160" s="22"/>
      <c r="E160" s="22"/>
      <c r="F160" s="57">
        <v>8.8760004043579102</v>
      </c>
    </row>
    <row r="161" spans="1:15" x14ac:dyDescent="0.2">
      <c r="A161" s="2" t="str">
        <f t="shared" si="3"/>
        <v>G</v>
      </c>
      <c r="B161" s="2">
        <f t="shared" si="4"/>
        <v>8</v>
      </c>
      <c r="C161" s="2" t="str">
        <f ca="1">IF((OFFSET('384 Well qPCR Layout'!A$9, 0, Sheet3!B27))="", "",  OFFSET('384 Well qPCR Layout'!A$9, 0, Sheet3!B27))</f>
        <v/>
      </c>
      <c r="D161" s="22"/>
      <c r="E161" s="22"/>
      <c r="F161" s="57" t="s">
        <v>252</v>
      </c>
      <c r="O161" s="5"/>
    </row>
    <row r="162" spans="1:15" x14ac:dyDescent="0.2">
      <c r="A162" s="2" t="str">
        <f t="shared" si="3"/>
        <v>G</v>
      </c>
      <c r="B162" s="2">
        <f t="shared" si="4"/>
        <v>9</v>
      </c>
      <c r="C162" s="2" t="str">
        <f ca="1">IF((OFFSET('384 Well qPCR Layout'!A$9, 0, Sheet3!B28))="", "",  OFFSET('384 Well qPCR Layout'!A$9, 0, Sheet3!B28))</f>
        <v>L0P14 (1:1000)</v>
      </c>
      <c r="D162" s="22"/>
      <c r="E162" s="22"/>
      <c r="F162" s="56">
        <v>7.0419998168945312</v>
      </c>
      <c r="O162" s="5"/>
    </row>
    <row r="163" spans="1:15" x14ac:dyDescent="0.2">
      <c r="A163" s="2" t="str">
        <f t="shared" ref="A163:A226" si="5">CHAR(CODE(A139)+1)</f>
        <v>G</v>
      </c>
      <c r="B163" s="2">
        <f t="shared" ref="B163:B226" si="6">B139</f>
        <v>10</v>
      </c>
      <c r="C163" s="2" t="str">
        <f ca="1">IF((OFFSET('384 Well qPCR Layout'!A$9, 0, Sheet3!B29))="", "",  OFFSET('384 Well qPCR Layout'!A$9, 0, Sheet3!B29))</f>
        <v/>
      </c>
      <c r="D163" s="22"/>
      <c r="E163" s="22"/>
      <c r="F163" s="56" t="s">
        <v>252</v>
      </c>
      <c r="O163" s="5"/>
    </row>
    <row r="164" spans="1:15" x14ac:dyDescent="0.2">
      <c r="A164" s="2" t="str">
        <f t="shared" si="5"/>
        <v>G</v>
      </c>
      <c r="B164" s="2">
        <f t="shared" si="6"/>
        <v>11</v>
      </c>
      <c r="C164" s="2" t="str">
        <f ca="1">IF((OFFSET('384 Well qPCR Layout'!A$9, 0, Sheet3!B30))="", "",  OFFSET('384 Well qPCR Layout'!A$9, 0, Sheet3!B30))</f>
        <v>L0P22 (1:1000)</v>
      </c>
      <c r="D164" s="22"/>
      <c r="E164" s="22"/>
      <c r="F164" s="56">
        <v>8.1750001907348633</v>
      </c>
      <c r="O164" s="5"/>
    </row>
    <row r="165" spans="1:15" x14ac:dyDescent="0.2">
      <c r="A165" s="2" t="str">
        <f t="shared" si="5"/>
        <v>G</v>
      </c>
      <c r="B165" s="2">
        <f t="shared" si="6"/>
        <v>12</v>
      </c>
      <c r="C165" s="2" t="str">
        <f ca="1">IF((OFFSET('384 Well qPCR Layout'!A$9, 0, Sheet3!B31))="", "",  OFFSET('384 Well qPCR Layout'!A$9, 0, Sheet3!B31))</f>
        <v/>
      </c>
      <c r="D165" s="22"/>
      <c r="E165" s="22"/>
      <c r="F165" s="57" t="s">
        <v>252</v>
      </c>
      <c r="O165" s="5"/>
    </row>
    <row r="166" spans="1:15" x14ac:dyDescent="0.2">
      <c r="A166" s="2" t="str">
        <f t="shared" si="5"/>
        <v>G</v>
      </c>
      <c r="B166" s="2">
        <f t="shared" si="6"/>
        <v>13</v>
      </c>
      <c r="C166" s="2" t="str">
        <f ca="1">IF((OFFSET('384 Well qPCR Layout'!A$9, 0, Sheet3!B32))="", "",  OFFSET('384 Well qPCR Layout'!A$9, 0, Sheet3!B32))</f>
        <v>L0P30 (1:1000)</v>
      </c>
      <c r="D166" s="22"/>
      <c r="E166" s="22"/>
      <c r="F166" s="57">
        <v>7.0900001525878906</v>
      </c>
      <c r="O166" s="5"/>
    </row>
    <row r="167" spans="1:15" x14ac:dyDescent="0.2">
      <c r="A167" s="2" t="str">
        <f t="shared" si="5"/>
        <v>G</v>
      </c>
      <c r="B167" s="2">
        <f t="shared" si="6"/>
        <v>14</v>
      </c>
      <c r="C167" s="2" t="str">
        <f ca="1">IF((OFFSET('384 Well qPCR Layout'!A$9, 0, Sheet3!B33))="", "",  OFFSET('384 Well qPCR Layout'!A$9, 0, Sheet3!B33))</f>
        <v/>
      </c>
      <c r="D167" s="22"/>
      <c r="E167" s="22"/>
      <c r="F167" s="57" t="s">
        <v>252</v>
      </c>
      <c r="O167" s="5"/>
    </row>
    <row r="168" spans="1:15" x14ac:dyDescent="0.2">
      <c r="A168" s="2" t="str">
        <f t="shared" si="5"/>
        <v>G</v>
      </c>
      <c r="B168" s="2">
        <f t="shared" si="6"/>
        <v>15</v>
      </c>
      <c r="C168" s="2" t="str">
        <f ca="1">IF((OFFSET('384 Well qPCR Layout'!A$9, 0, Sheet3!B34))="", "",  OFFSET('384 Well qPCR Layout'!A$9, 0, Sheet3!B34))</f>
        <v>BarLP8C (1:1000)</v>
      </c>
      <c r="D168" s="22"/>
      <c r="E168" s="22"/>
      <c r="F168" s="57">
        <v>6.9730000495910645</v>
      </c>
      <c r="O168" s="5"/>
    </row>
    <row r="169" spans="1:15" x14ac:dyDescent="0.2">
      <c r="A169" s="2" t="str">
        <f t="shared" si="5"/>
        <v>G</v>
      </c>
      <c r="B169" s="2">
        <f t="shared" si="6"/>
        <v>16</v>
      </c>
      <c r="C169" s="2" t="str">
        <f ca="1">IF((OFFSET('384 Well qPCR Layout'!A$9, 0, Sheet3!B35))="", "",  OFFSET('384 Well qPCR Layout'!A$9, 0, Sheet3!B35))</f>
        <v/>
      </c>
      <c r="D169" s="22"/>
      <c r="E169" s="22"/>
      <c r="F169" s="57" t="s">
        <v>252</v>
      </c>
      <c r="O169" s="5"/>
    </row>
    <row r="170" spans="1:15" x14ac:dyDescent="0.2">
      <c r="A170" s="2" t="str">
        <f t="shared" si="5"/>
        <v>G</v>
      </c>
      <c r="B170" s="2">
        <f t="shared" si="6"/>
        <v>17</v>
      </c>
      <c r="C170" s="2" t="str">
        <f ca="1">IF((OFFSET('384 Well qPCR Layout'!A$9, 0, Sheet3!B36))="", "",  OFFSET('384 Well qPCR Layout'!A$9, 0, Sheet3!B36))</f>
        <v>BarLP16C (1:1000)</v>
      </c>
      <c r="D170" s="22"/>
      <c r="E170" s="22"/>
      <c r="F170" s="56">
        <v>7.5</v>
      </c>
      <c r="O170" s="5"/>
    </row>
    <row r="171" spans="1:15" x14ac:dyDescent="0.2">
      <c r="A171" s="2" t="str">
        <f t="shared" si="5"/>
        <v>G</v>
      </c>
      <c r="B171" s="2">
        <f t="shared" si="6"/>
        <v>18</v>
      </c>
      <c r="C171" s="2" t="str">
        <f ca="1">IF((OFFSET('384 Well qPCR Layout'!A$9, 0, Sheet3!B37))="", "",  OFFSET('384 Well qPCR Layout'!A$9, 0, Sheet3!B37))</f>
        <v/>
      </c>
      <c r="D171" s="22"/>
      <c r="E171" s="22"/>
      <c r="F171" s="57">
        <v>5.6409997940063477</v>
      </c>
      <c r="O171" s="5"/>
    </row>
    <row r="172" spans="1:15" x14ac:dyDescent="0.2">
      <c r="A172" s="2" t="str">
        <f t="shared" si="5"/>
        <v>G</v>
      </c>
      <c r="B172" s="2">
        <f t="shared" si="6"/>
        <v>19</v>
      </c>
      <c r="C172" s="2" t="str">
        <f ca="1">IF((OFFSET('384 Well qPCR Layout'!A$9, 0, Sheet3!B38))="", "",  OFFSET('384 Well qPCR Layout'!A$9, 0, Sheet3!B38))</f>
        <v>BarLP10H (1:1000)</v>
      </c>
      <c r="D172" s="22"/>
      <c r="E172" s="22"/>
      <c r="F172" s="56">
        <v>6.9840002059936523</v>
      </c>
      <c r="O172" s="5"/>
    </row>
    <row r="173" spans="1:15" x14ac:dyDescent="0.2">
      <c r="A173" s="2" t="str">
        <f t="shared" si="5"/>
        <v>G</v>
      </c>
      <c r="B173" s="2">
        <f t="shared" si="6"/>
        <v>20</v>
      </c>
      <c r="C173" s="2" t="str">
        <f ca="1">IF((OFFSET('384 Well qPCR Layout'!A$9, 0, Sheet3!B39))="", "",  OFFSET('384 Well qPCR Layout'!A$9, 0, Sheet3!B39))</f>
        <v/>
      </c>
      <c r="D173" s="22"/>
      <c r="E173" s="22"/>
      <c r="F173" s="57">
        <v>5.8660001754760742</v>
      </c>
    </row>
    <row r="174" spans="1:15" x14ac:dyDescent="0.2">
      <c r="A174" s="2" t="str">
        <f t="shared" si="5"/>
        <v>G</v>
      </c>
      <c r="B174" s="2">
        <f t="shared" si="6"/>
        <v>21</v>
      </c>
      <c r="C174" s="2" t="str">
        <f ca="1">IF((OFFSET('384 Well qPCR Layout'!A$9, 0, Sheet3!B40))="", "",  OFFSET('384 Well qPCR Layout'!A$9, 0, Sheet3!B40))</f>
        <v>BarLP18H (1:1000)</v>
      </c>
      <c r="D174" s="22"/>
      <c r="E174" s="22"/>
      <c r="F174" s="56">
        <v>7.3629999160766602</v>
      </c>
    </row>
    <row r="175" spans="1:15" x14ac:dyDescent="0.2">
      <c r="A175" s="2" t="str">
        <f t="shared" si="5"/>
        <v>G</v>
      </c>
      <c r="B175" s="2">
        <f t="shared" si="6"/>
        <v>22</v>
      </c>
      <c r="C175" s="2" t="str">
        <f ca="1">IF((OFFSET('384 Well qPCR Layout'!A$9, 0, Sheet3!B41))="", "",  OFFSET('384 Well qPCR Layout'!A$9, 0, Sheet3!B41))</f>
        <v/>
      </c>
      <c r="D175" s="22"/>
      <c r="E175" s="22"/>
      <c r="F175" s="57">
        <v>25.040000915527344</v>
      </c>
    </row>
    <row r="176" spans="1:15" x14ac:dyDescent="0.2">
      <c r="A176" s="2" t="str">
        <f t="shared" si="5"/>
        <v>G</v>
      </c>
      <c r="B176" s="2">
        <f t="shared" si="6"/>
        <v>23</v>
      </c>
      <c r="C176" s="2" t="str">
        <f ca="1">IF((OFFSET('384 Well qPCR Layout'!A$9, 0, Sheet3!B42))="", "",  OFFSET('384 Well qPCR Layout'!A$9, 0, Sheet3!B42))</f>
        <v/>
      </c>
      <c r="D176" s="22"/>
      <c r="E176" s="22"/>
      <c r="F176" s="56">
        <v>18.701000213623047</v>
      </c>
    </row>
    <row r="177" spans="1:15" x14ac:dyDescent="0.2">
      <c r="A177" s="2" t="str">
        <f t="shared" si="5"/>
        <v>G</v>
      </c>
      <c r="B177" s="2">
        <f t="shared" si="6"/>
        <v>24</v>
      </c>
      <c r="C177" s="2" t="str">
        <f ca="1">IF((OFFSET('384 Well qPCR Layout'!A$9, 0, Sheet3!B43))="", "",  OFFSET('384 Well qPCR Layout'!A$9, 0, Sheet3!B43))</f>
        <v/>
      </c>
      <c r="D177" s="22"/>
      <c r="E177" s="22"/>
      <c r="F177" s="57" t="s">
        <v>252</v>
      </c>
      <c r="O177" s="5"/>
    </row>
    <row r="178" spans="1:15" x14ac:dyDescent="0.2">
      <c r="A178" s="2" t="str">
        <f t="shared" si="5"/>
        <v>H</v>
      </c>
      <c r="B178" s="2">
        <f t="shared" si="6"/>
        <v>1</v>
      </c>
      <c r="C178" s="2" t="str">
        <f ca="1">IF((OFFSET('384 Well qPCR Layout'!A$10, 0, Sheet3!B20))="", "",  OFFSET('384 Well qPCR Layout'!A$10, 0, Sheet3!B20))</f>
        <v/>
      </c>
      <c r="D178" s="22"/>
      <c r="E178" s="22"/>
      <c r="F178" s="57" t="s">
        <v>252</v>
      </c>
    </row>
    <row r="179" spans="1:15" x14ac:dyDescent="0.2">
      <c r="A179" s="2" t="str">
        <f t="shared" si="5"/>
        <v>H</v>
      </c>
      <c r="B179" s="2">
        <f t="shared" si="6"/>
        <v>2</v>
      </c>
      <c r="C179" s="2" t="str">
        <f ca="1">IF((OFFSET('384 Well qPCR Layout'!A$10, 0, Sheet3!B21))="", "",  OFFSET('384 Well qPCR Layout'!A$10, 0, Sheet3!B21))</f>
        <v/>
      </c>
      <c r="D179" s="22"/>
      <c r="E179" s="22"/>
      <c r="F179" s="57">
        <v>13.644000053405762</v>
      </c>
      <c r="O179" s="5"/>
    </row>
    <row r="180" spans="1:15" x14ac:dyDescent="0.2">
      <c r="A180" s="2" t="str">
        <f t="shared" si="5"/>
        <v>H</v>
      </c>
      <c r="B180" s="2">
        <f t="shared" si="6"/>
        <v>3</v>
      </c>
      <c r="C180" s="2" t="str">
        <f ca="1">IF((OFFSET('384 Well qPCR Layout'!A$10, 0, Sheet3!B22))="", "",  OFFSET('384 Well qPCR Layout'!A$10, 0, Sheet3!B22))</f>
        <v/>
      </c>
      <c r="D180" s="22"/>
      <c r="E180" s="22"/>
      <c r="F180" s="57">
        <v>6.9530000686645508</v>
      </c>
      <c r="O180" s="5"/>
    </row>
    <row r="181" spans="1:15" x14ac:dyDescent="0.2">
      <c r="A181" s="2" t="str">
        <f t="shared" si="5"/>
        <v>H</v>
      </c>
      <c r="B181" s="2">
        <f t="shared" si="6"/>
        <v>4</v>
      </c>
      <c r="C181" s="2" t="str">
        <f ca="1">IF((OFFSET('384 Well qPCR Layout'!A$10, 0, Sheet3!B23))="", "",  OFFSET('384 Well qPCR Layout'!A$10, 0, Sheet3!B23))</f>
        <v/>
      </c>
      <c r="D181" s="22"/>
      <c r="E181" s="22"/>
      <c r="F181" s="57">
        <v>28.343999862670898</v>
      </c>
      <c r="O181" s="5"/>
    </row>
    <row r="182" spans="1:15" x14ac:dyDescent="0.2">
      <c r="A182" s="2" t="str">
        <f t="shared" si="5"/>
        <v>H</v>
      </c>
      <c r="B182" s="2">
        <f t="shared" si="6"/>
        <v>5</v>
      </c>
      <c r="C182" s="2" t="str">
        <f ca="1">IF((OFFSET('384 Well qPCR Layout'!A$10, 0, Sheet3!B24))="", "",  OFFSET('384 Well qPCR Layout'!A$10, 0, Sheet3!B24))</f>
        <v/>
      </c>
      <c r="D182" s="22"/>
      <c r="E182" s="22"/>
      <c r="F182" s="57">
        <v>8.3909997940063477</v>
      </c>
      <c r="O182" s="5"/>
    </row>
    <row r="183" spans="1:15" x14ac:dyDescent="0.2">
      <c r="A183" s="2" t="str">
        <f t="shared" si="5"/>
        <v>H</v>
      </c>
      <c r="B183" s="2">
        <f t="shared" si="6"/>
        <v>6</v>
      </c>
      <c r="C183" s="2" t="str">
        <f ca="1">IF((OFFSET('384 Well qPCR Layout'!A$10, 0, Sheet3!B25))="", "",  OFFSET('384 Well qPCR Layout'!A$10, 0, Sheet3!B25))</f>
        <v/>
      </c>
      <c r="D183" s="22"/>
      <c r="E183" s="22"/>
      <c r="F183" s="57">
        <v>8.9230003356933594</v>
      </c>
      <c r="O183" s="5"/>
    </row>
    <row r="184" spans="1:15" x14ac:dyDescent="0.2">
      <c r="A184" s="2" t="str">
        <f t="shared" si="5"/>
        <v>H</v>
      </c>
      <c r="B184" s="2">
        <f t="shared" si="6"/>
        <v>7</v>
      </c>
      <c r="C184" s="2" t="str">
        <f ca="1">IF((OFFSET('384 Well qPCR Layout'!A$10, 0, Sheet3!B26))="", "",  OFFSET('384 Well qPCR Layout'!A$10, 0, Sheet3!B26))</f>
        <v/>
      </c>
      <c r="D184" s="22"/>
      <c r="E184" s="22"/>
      <c r="F184" s="56" t="s">
        <v>252</v>
      </c>
      <c r="O184" s="5"/>
    </row>
    <row r="185" spans="1:15" x14ac:dyDescent="0.2">
      <c r="A185" s="2" t="str">
        <f t="shared" si="5"/>
        <v>H</v>
      </c>
      <c r="B185" s="2">
        <f t="shared" si="6"/>
        <v>8</v>
      </c>
      <c r="C185" s="2" t="str">
        <f ca="1">IF((OFFSET('384 Well qPCR Layout'!A$10, 0, Sheet3!B27))="", "",  OFFSET('384 Well qPCR Layout'!A$10, 0, Sheet3!B27))</f>
        <v/>
      </c>
      <c r="D185" s="22"/>
      <c r="E185" s="22"/>
      <c r="F185" s="57" t="s">
        <v>252</v>
      </c>
    </row>
    <row r="186" spans="1:15" x14ac:dyDescent="0.2">
      <c r="A186" s="2" t="str">
        <f t="shared" si="5"/>
        <v>H</v>
      </c>
      <c r="B186" s="2">
        <f t="shared" si="6"/>
        <v>9</v>
      </c>
      <c r="C186" s="2" t="str">
        <f ca="1">IF((OFFSET('384 Well qPCR Layout'!A$10, 0, Sheet3!B28))="", "",  OFFSET('384 Well qPCR Layout'!A$10, 0, Sheet3!B28))</f>
        <v/>
      </c>
      <c r="D186" s="22"/>
      <c r="E186" s="22"/>
      <c r="F186" s="57" t="s">
        <v>252</v>
      </c>
      <c r="O186" s="5"/>
    </row>
    <row r="187" spans="1:15" x14ac:dyDescent="0.2">
      <c r="A187" s="2" t="str">
        <f t="shared" si="5"/>
        <v>H</v>
      </c>
      <c r="B187" s="2">
        <f t="shared" si="6"/>
        <v>10</v>
      </c>
      <c r="C187" s="2" t="str">
        <f ca="1">IF((OFFSET('384 Well qPCR Layout'!A$10, 0, Sheet3!B29))="", "",  OFFSET('384 Well qPCR Layout'!A$10, 0, Sheet3!B29))</f>
        <v/>
      </c>
      <c r="D187" s="22"/>
      <c r="E187" s="22"/>
      <c r="F187" s="57" t="s">
        <v>252</v>
      </c>
      <c r="O187" s="5"/>
    </row>
    <row r="188" spans="1:15" x14ac:dyDescent="0.2">
      <c r="A188" s="2" t="str">
        <f t="shared" si="5"/>
        <v>H</v>
      </c>
      <c r="B188" s="2">
        <f t="shared" si="6"/>
        <v>11</v>
      </c>
      <c r="C188" s="2" t="str">
        <f ca="1">IF((OFFSET('384 Well qPCR Layout'!A$10, 0, Sheet3!B30))="", "",  OFFSET('384 Well qPCR Layout'!A$10, 0, Sheet3!B30))</f>
        <v/>
      </c>
      <c r="D188" s="22"/>
      <c r="E188" s="22"/>
      <c r="F188" s="57">
        <v>9.3199996948242188</v>
      </c>
      <c r="O188" s="5"/>
    </row>
    <row r="189" spans="1:15" x14ac:dyDescent="0.2">
      <c r="A189" s="2" t="str">
        <f t="shared" si="5"/>
        <v>H</v>
      </c>
      <c r="B189" s="2">
        <f t="shared" si="6"/>
        <v>12</v>
      </c>
      <c r="C189" s="2" t="str">
        <f ca="1">IF((OFFSET('384 Well qPCR Layout'!A$10, 0, Sheet3!B31))="", "",  OFFSET('384 Well qPCR Layout'!A$10, 0, Sheet3!B31))</f>
        <v/>
      </c>
      <c r="D189" s="22"/>
      <c r="E189" s="22"/>
      <c r="F189" s="57">
        <v>10.746000289916992</v>
      </c>
      <c r="O189" s="5"/>
    </row>
    <row r="190" spans="1:15" x14ac:dyDescent="0.2">
      <c r="A190" s="2" t="str">
        <f t="shared" si="5"/>
        <v>H</v>
      </c>
      <c r="B190" s="2">
        <f t="shared" si="6"/>
        <v>13</v>
      </c>
      <c r="C190" s="2" t="str">
        <f ca="1">IF((OFFSET('384 Well qPCR Layout'!A$10, 0, Sheet3!B32))="", "",  OFFSET('384 Well qPCR Layout'!A$10, 0, Sheet3!B32))</f>
        <v/>
      </c>
      <c r="D190" s="22"/>
      <c r="E190" s="22"/>
      <c r="F190" s="57" t="s">
        <v>252</v>
      </c>
      <c r="O190" s="5"/>
    </row>
    <row r="191" spans="1:15" x14ac:dyDescent="0.2">
      <c r="A191" s="2" t="str">
        <f t="shared" si="5"/>
        <v>H</v>
      </c>
      <c r="B191" s="2">
        <f t="shared" si="6"/>
        <v>14</v>
      </c>
      <c r="C191" s="2" t="str">
        <f ca="1">IF((OFFSET('384 Well qPCR Layout'!A$10, 0, Sheet3!B33))="", "",  OFFSET('384 Well qPCR Layout'!A$10, 0, Sheet3!B33))</f>
        <v/>
      </c>
      <c r="D191" s="22"/>
      <c r="E191" s="22"/>
      <c r="F191" s="57" t="s">
        <v>252</v>
      </c>
      <c r="O191" s="5"/>
    </row>
    <row r="192" spans="1:15" x14ac:dyDescent="0.2">
      <c r="A192" s="2" t="str">
        <f t="shared" si="5"/>
        <v>H</v>
      </c>
      <c r="B192" s="2">
        <f t="shared" si="6"/>
        <v>15</v>
      </c>
      <c r="C192" s="2" t="str">
        <f ca="1">IF((OFFSET('384 Well qPCR Layout'!A$10, 0, Sheet3!B34))="", "",  OFFSET('384 Well qPCR Layout'!A$10, 0, Sheet3!B34))</f>
        <v/>
      </c>
      <c r="D192" s="22"/>
      <c r="E192" s="22"/>
      <c r="F192" s="57" t="s">
        <v>252</v>
      </c>
      <c r="O192" s="5"/>
    </row>
    <row r="193" spans="1:15" x14ac:dyDescent="0.2">
      <c r="A193" s="2" t="str">
        <f t="shared" si="5"/>
        <v>H</v>
      </c>
      <c r="B193" s="2">
        <f t="shared" si="6"/>
        <v>16</v>
      </c>
      <c r="C193" s="2" t="str">
        <f ca="1">IF((OFFSET('384 Well qPCR Layout'!A$10, 0, Sheet3!B35))="", "",  OFFSET('384 Well qPCR Layout'!A$10, 0, Sheet3!B35))</f>
        <v/>
      </c>
      <c r="D193" s="22"/>
      <c r="E193" s="22"/>
      <c r="F193" s="57">
        <v>6.3670001029968262</v>
      </c>
    </row>
    <row r="194" spans="1:15" x14ac:dyDescent="0.2">
      <c r="A194" s="2" t="str">
        <f t="shared" si="5"/>
        <v>H</v>
      </c>
      <c r="B194" s="2">
        <f t="shared" si="6"/>
        <v>17</v>
      </c>
      <c r="C194" s="2" t="str">
        <f ca="1">IF((OFFSET('384 Well qPCR Layout'!A$10, 0, Sheet3!B36))="", "",  OFFSET('384 Well qPCR Layout'!A$10, 0, Sheet3!B36))</f>
        <v/>
      </c>
      <c r="D194" s="22"/>
      <c r="E194" s="22"/>
      <c r="F194" s="57">
        <v>11.045999526977539</v>
      </c>
    </row>
    <row r="195" spans="1:15" x14ac:dyDescent="0.2">
      <c r="A195" s="2" t="str">
        <f t="shared" si="5"/>
        <v>H</v>
      </c>
      <c r="B195" s="2">
        <f t="shared" si="6"/>
        <v>18</v>
      </c>
      <c r="C195" s="2" t="str">
        <f ca="1">IF((OFFSET('384 Well qPCR Layout'!A$10, 0, Sheet3!B37))="", "",  OFFSET('384 Well qPCR Layout'!A$10, 0, Sheet3!B37))</f>
        <v/>
      </c>
      <c r="D195" s="22"/>
      <c r="E195" s="22"/>
      <c r="F195" s="57" t="s">
        <v>252</v>
      </c>
      <c r="O195" s="5"/>
    </row>
    <row r="196" spans="1:15" x14ac:dyDescent="0.2">
      <c r="A196" s="2" t="str">
        <f t="shared" si="5"/>
        <v>H</v>
      </c>
      <c r="B196" s="2">
        <f t="shared" si="6"/>
        <v>19</v>
      </c>
      <c r="C196" s="2" t="str">
        <f ca="1">IF((OFFSET('384 Well qPCR Layout'!A$10, 0, Sheet3!B38))="", "",  OFFSET('384 Well qPCR Layout'!A$10, 0, Sheet3!B38))</f>
        <v/>
      </c>
      <c r="D196" s="22"/>
      <c r="E196" s="22"/>
      <c r="F196" s="57" t="s">
        <v>252</v>
      </c>
      <c r="O196" s="5"/>
    </row>
    <row r="197" spans="1:15" x14ac:dyDescent="0.2">
      <c r="A197" s="2" t="str">
        <f t="shared" si="5"/>
        <v>H</v>
      </c>
      <c r="B197" s="2">
        <f t="shared" si="6"/>
        <v>20</v>
      </c>
      <c r="C197" s="2" t="str">
        <f ca="1">IF((OFFSET('384 Well qPCR Layout'!A$10, 0, Sheet3!B39))="", "",  OFFSET('384 Well qPCR Layout'!A$10, 0, Sheet3!B39))</f>
        <v/>
      </c>
      <c r="D197" s="22"/>
      <c r="E197" s="22"/>
      <c r="F197" s="57">
        <v>5.3670001029968262</v>
      </c>
    </row>
    <row r="198" spans="1:15" x14ac:dyDescent="0.2">
      <c r="A198" s="2" t="str">
        <f t="shared" si="5"/>
        <v>H</v>
      </c>
      <c r="B198" s="2">
        <f t="shared" si="6"/>
        <v>21</v>
      </c>
      <c r="C198" s="2" t="str">
        <f ca="1">IF((OFFSET('384 Well qPCR Layout'!A$10, 0, Sheet3!B40))="", "",  OFFSET('384 Well qPCR Layout'!A$10, 0, Sheet3!B40))</f>
        <v/>
      </c>
      <c r="D198" s="22"/>
      <c r="E198" s="22"/>
      <c r="F198" s="57" t="s">
        <v>252</v>
      </c>
      <c r="O198" s="5"/>
    </row>
    <row r="199" spans="1:15" x14ac:dyDescent="0.2">
      <c r="A199" s="2" t="str">
        <f t="shared" si="5"/>
        <v>H</v>
      </c>
      <c r="B199" s="2">
        <f t="shared" si="6"/>
        <v>22</v>
      </c>
      <c r="C199" s="2" t="str">
        <f ca="1">IF((OFFSET('384 Well qPCR Layout'!A$10, 0, Sheet3!B41))="", "",  OFFSET('384 Well qPCR Layout'!A$10, 0, Sheet3!B41))</f>
        <v/>
      </c>
      <c r="D199" s="22"/>
      <c r="E199" s="22"/>
      <c r="F199" s="57" t="s">
        <v>252</v>
      </c>
    </row>
    <row r="200" spans="1:15" x14ac:dyDescent="0.2">
      <c r="A200" s="2" t="str">
        <f t="shared" si="5"/>
        <v>H</v>
      </c>
      <c r="B200" s="2">
        <f t="shared" si="6"/>
        <v>23</v>
      </c>
      <c r="C200" s="2" t="str">
        <f ca="1">IF((OFFSET('384 Well qPCR Layout'!A$10, 0, Sheet3!B42))="", "",  OFFSET('384 Well qPCR Layout'!A$10, 0, Sheet3!B42))</f>
        <v/>
      </c>
      <c r="D200" s="22"/>
      <c r="E200" s="22"/>
      <c r="F200" s="57">
        <v>7.6700000762939453</v>
      </c>
    </row>
    <row r="201" spans="1:15" x14ac:dyDescent="0.2">
      <c r="A201" s="2" t="str">
        <f t="shared" si="5"/>
        <v>H</v>
      </c>
      <c r="B201" s="2">
        <f t="shared" si="6"/>
        <v>24</v>
      </c>
      <c r="C201" s="2" t="str">
        <f ca="1">IF((OFFSET('384 Well qPCR Layout'!A$10, 0, Sheet3!B43))="", "",  OFFSET('384 Well qPCR Layout'!A$10, 0, Sheet3!B43))</f>
        <v>Standard 4</v>
      </c>
      <c r="D201" s="22"/>
      <c r="E201" s="22"/>
      <c r="F201" s="57">
        <v>19.743999481201172</v>
      </c>
    </row>
    <row r="202" spans="1:15" x14ac:dyDescent="0.2">
      <c r="A202" s="2" t="str">
        <f t="shared" si="5"/>
        <v>I</v>
      </c>
      <c r="B202" s="2">
        <f t="shared" si="6"/>
        <v>1</v>
      </c>
      <c r="C202" s="2" t="str">
        <f ca="1">IF((OFFSET('384 Well qPCR Layout'!A$11, 0, Sheet3!B20))="", "",  OFFSET('384 Well qPCR Layout'!A$11, 0, Sheet3!B20))</f>
        <v>2AP9 (1:1000)</v>
      </c>
      <c r="D202" s="22"/>
      <c r="E202" s="22"/>
      <c r="F202" s="57">
        <v>6.9840002059936523</v>
      </c>
      <c r="O202" s="5"/>
    </row>
    <row r="203" spans="1:15" x14ac:dyDescent="0.2">
      <c r="A203" s="2" t="str">
        <f t="shared" si="5"/>
        <v>I</v>
      </c>
      <c r="B203" s="2">
        <f t="shared" si="6"/>
        <v>2</v>
      </c>
      <c r="C203" s="2" t="str">
        <f ca="1">IF((OFFSET('384 Well qPCR Layout'!A$11, 0, Sheet3!B21))="", "",  OFFSET('384 Well qPCR Layout'!A$11, 0, Sheet3!B21))</f>
        <v/>
      </c>
      <c r="D203" s="22"/>
      <c r="E203" s="22"/>
      <c r="F203" s="57">
        <v>14.107000350952148</v>
      </c>
      <c r="O203" s="5"/>
    </row>
    <row r="204" spans="1:15" x14ac:dyDescent="0.2">
      <c r="A204" s="2" t="str">
        <f t="shared" si="5"/>
        <v>I</v>
      </c>
      <c r="B204" s="2">
        <f t="shared" si="6"/>
        <v>3</v>
      </c>
      <c r="C204" s="2" t="str">
        <f ca="1">IF((OFFSET('384 Well qPCR Layout'!A$11, 0, Sheet3!B22))="", "",  OFFSET('384 Well qPCR Layout'!A$11, 0, Sheet3!B22))</f>
        <v>2AP17 (1:1000)</v>
      </c>
      <c r="D204" s="22"/>
      <c r="E204" s="22"/>
      <c r="F204" s="57">
        <v>10.081000328063965</v>
      </c>
      <c r="O204" s="5"/>
    </row>
    <row r="205" spans="1:15" x14ac:dyDescent="0.2">
      <c r="A205" s="2" t="str">
        <f t="shared" si="5"/>
        <v>I</v>
      </c>
      <c r="B205" s="2">
        <f t="shared" si="6"/>
        <v>4</v>
      </c>
      <c r="C205" s="2" t="str">
        <f ca="1">IF((OFFSET('384 Well qPCR Layout'!A$11, 0, Sheet3!B23))="", "",  OFFSET('384 Well qPCR Layout'!A$11, 0, Sheet3!B23))</f>
        <v/>
      </c>
      <c r="D205" s="22"/>
      <c r="E205" s="22"/>
      <c r="F205" s="57" t="s">
        <v>252</v>
      </c>
      <c r="O205" s="5"/>
    </row>
    <row r="206" spans="1:15" x14ac:dyDescent="0.2">
      <c r="A206" s="2" t="str">
        <f t="shared" si="5"/>
        <v>I</v>
      </c>
      <c r="B206" s="2">
        <f t="shared" si="6"/>
        <v>5</v>
      </c>
      <c r="C206" s="2" t="str">
        <f ca="1">IF((OFFSET('384 Well qPCR Layout'!A$11, 0, Sheet3!B24))="", "",  OFFSET('384 Well qPCR Layout'!A$11, 0, Sheet3!B24))</f>
        <v>2AP25 (1:1000)</v>
      </c>
      <c r="D206" s="22"/>
      <c r="E206" s="22"/>
      <c r="F206" s="56">
        <v>6.9899997711181641</v>
      </c>
      <c r="O206" s="5"/>
    </row>
    <row r="207" spans="1:15" x14ac:dyDescent="0.2">
      <c r="A207" s="2" t="str">
        <f t="shared" si="5"/>
        <v>I</v>
      </c>
      <c r="B207" s="2">
        <f t="shared" si="6"/>
        <v>6</v>
      </c>
      <c r="C207" s="2" t="str">
        <f ca="1">IF((OFFSET('384 Well qPCR Layout'!A$11, 0, Sheet3!B25))="", "",  OFFSET('384 Well qPCR Layout'!A$11, 0, Sheet3!B25))</f>
        <v/>
      </c>
      <c r="D207" s="22"/>
      <c r="E207" s="22"/>
      <c r="F207" s="56" t="s">
        <v>252</v>
      </c>
      <c r="O207" s="5"/>
    </row>
    <row r="208" spans="1:15" x14ac:dyDescent="0.2">
      <c r="A208" s="2" t="str">
        <f t="shared" si="5"/>
        <v>I</v>
      </c>
      <c r="B208" s="2">
        <f t="shared" si="6"/>
        <v>7</v>
      </c>
      <c r="C208" s="2" t="str">
        <f ca="1">IF((OFFSET('384 Well qPCR Layout'!A$11, 0, Sheet3!B26))="", "",  OFFSET('384 Well qPCR Layout'!A$11, 0, Sheet3!B26))</f>
        <v>L0P7 (1:1000)</v>
      </c>
      <c r="D208" s="22"/>
      <c r="E208" s="22"/>
      <c r="F208" s="57">
        <v>7.7220001220703125</v>
      </c>
    </row>
    <row r="209" spans="1:15" x14ac:dyDescent="0.2">
      <c r="A209" s="2" t="str">
        <f t="shared" si="5"/>
        <v>I</v>
      </c>
      <c r="B209" s="2">
        <f t="shared" si="6"/>
        <v>8</v>
      </c>
      <c r="C209" s="2" t="str">
        <f ca="1">IF((OFFSET('384 Well qPCR Layout'!A$11, 0, Sheet3!B27))="", "",  OFFSET('384 Well qPCR Layout'!A$11, 0, Sheet3!B27))</f>
        <v/>
      </c>
      <c r="D209" s="22"/>
      <c r="E209" s="22"/>
      <c r="F209" s="57">
        <v>5.3319997787475586</v>
      </c>
      <c r="O209" s="5"/>
    </row>
    <row r="210" spans="1:15" x14ac:dyDescent="0.2">
      <c r="A210" s="2" t="str">
        <f t="shared" si="5"/>
        <v>I</v>
      </c>
      <c r="B210" s="2">
        <f t="shared" si="6"/>
        <v>9</v>
      </c>
      <c r="C210" s="2" t="str">
        <f ca="1">IF((OFFSET('384 Well qPCR Layout'!A$11, 0, Sheet3!B28))="", "",  OFFSET('384 Well qPCR Layout'!A$11, 0, Sheet3!B28))</f>
        <v>L0P15 (1:1000)</v>
      </c>
      <c r="D210" s="22"/>
      <c r="E210" s="22"/>
      <c r="F210" s="57">
        <v>7.3680000305175781</v>
      </c>
      <c r="O210" s="5"/>
    </row>
    <row r="211" spans="1:15" x14ac:dyDescent="0.2">
      <c r="A211" s="2" t="str">
        <f t="shared" si="5"/>
        <v>I</v>
      </c>
      <c r="B211" s="2">
        <f t="shared" si="6"/>
        <v>10</v>
      </c>
      <c r="C211" s="2" t="str">
        <f ca="1">IF((OFFSET('384 Well qPCR Layout'!A$11, 0, Sheet3!B29))="", "",  OFFSET('384 Well qPCR Layout'!A$11, 0, Sheet3!B29))</f>
        <v/>
      </c>
      <c r="D211" s="22"/>
      <c r="E211" s="22"/>
      <c r="F211" s="56">
        <v>6.3590002059936523</v>
      </c>
      <c r="O211" s="5"/>
    </row>
    <row r="212" spans="1:15" x14ac:dyDescent="0.2">
      <c r="A212" s="2" t="str">
        <f t="shared" si="5"/>
        <v>I</v>
      </c>
      <c r="B212" s="2">
        <f t="shared" si="6"/>
        <v>11</v>
      </c>
      <c r="C212" s="2" t="str">
        <f ca="1">IF((OFFSET('384 Well qPCR Layout'!A$11, 0, Sheet3!B30))="", "",  OFFSET('384 Well qPCR Layout'!A$11, 0, Sheet3!B30))</f>
        <v>L0P23 (1:1000)</v>
      </c>
      <c r="D212" s="22"/>
      <c r="E212" s="22"/>
      <c r="F212" s="56">
        <v>7.3660001754760742</v>
      </c>
      <c r="O212" s="5"/>
    </row>
    <row r="213" spans="1:15" x14ac:dyDescent="0.2">
      <c r="A213" s="2" t="str">
        <f t="shared" si="5"/>
        <v>I</v>
      </c>
      <c r="B213" s="2">
        <f t="shared" si="6"/>
        <v>12</v>
      </c>
      <c r="C213" s="2" t="str">
        <f ca="1">IF((OFFSET('384 Well qPCR Layout'!A$11, 0, Sheet3!B31))="", "",  OFFSET('384 Well qPCR Layout'!A$11, 0, Sheet3!B31))</f>
        <v/>
      </c>
      <c r="D213" s="22"/>
      <c r="E213" s="22"/>
      <c r="F213" s="57" t="s">
        <v>252</v>
      </c>
      <c r="O213" s="5"/>
    </row>
    <row r="214" spans="1:15" x14ac:dyDescent="0.2">
      <c r="A214" s="2" t="str">
        <f t="shared" si="5"/>
        <v>I</v>
      </c>
      <c r="B214" s="2">
        <f t="shared" si="6"/>
        <v>13</v>
      </c>
      <c r="C214" s="2" t="str">
        <f ca="1">IF((OFFSET('384 Well qPCR Layout'!A$11, 0, Sheet3!B32))="", "",  OFFSET('384 Well qPCR Layout'!A$11, 0, Sheet3!B32))</f>
        <v/>
      </c>
      <c r="D214" s="22"/>
      <c r="E214" s="22"/>
      <c r="F214" s="57" t="s">
        <v>252</v>
      </c>
      <c r="O214" s="5"/>
    </row>
    <row r="215" spans="1:15" x14ac:dyDescent="0.2">
      <c r="A215" s="2" t="str">
        <f t="shared" si="5"/>
        <v>I</v>
      </c>
      <c r="B215" s="2">
        <f t="shared" si="6"/>
        <v>14</v>
      </c>
      <c r="C215" s="2" t="str">
        <f ca="1">IF((OFFSET('384 Well qPCR Layout'!A$11, 0, Sheet3!B33))="", "",  OFFSET('384 Well qPCR Layout'!A$11, 0, Sheet3!B33))</f>
        <v/>
      </c>
      <c r="D215" s="22"/>
      <c r="E215" s="22"/>
      <c r="F215" s="57">
        <v>5.4619998931884766</v>
      </c>
      <c r="O215" s="5"/>
    </row>
    <row r="216" spans="1:15" x14ac:dyDescent="0.2">
      <c r="A216" s="2" t="str">
        <f t="shared" si="5"/>
        <v>I</v>
      </c>
      <c r="B216" s="2">
        <f t="shared" si="6"/>
        <v>15</v>
      </c>
      <c r="C216" s="2" t="str">
        <f ca="1">IF((OFFSET('384 Well qPCR Layout'!A$11, 0, Sheet3!B34))="", "",  OFFSET('384 Well qPCR Layout'!A$11, 0, Sheet3!B34))</f>
        <v>BarLP9C (1:1000)</v>
      </c>
      <c r="D216" s="22"/>
      <c r="E216" s="22"/>
      <c r="F216" s="56">
        <v>6.870999813079834</v>
      </c>
      <c r="O216" s="5"/>
    </row>
    <row r="217" spans="1:15" x14ac:dyDescent="0.2">
      <c r="A217" s="2" t="str">
        <f t="shared" si="5"/>
        <v>I</v>
      </c>
      <c r="B217" s="2">
        <f t="shared" si="6"/>
        <v>16</v>
      </c>
      <c r="C217" s="2" t="str">
        <f ca="1">IF((OFFSET('384 Well qPCR Layout'!A$11, 0, Sheet3!B35))="", "",  OFFSET('384 Well qPCR Layout'!A$11, 0, Sheet3!B35))</f>
        <v/>
      </c>
      <c r="D217" s="22"/>
      <c r="E217" s="22"/>
      <c r="F217" s="56">
        <v>4.7090001106262207</v>
      </c>
      <c r="O217" s="5"/>
    </row>
    <row r="218" spans="1:15" x14ac:dyDescent="0.2">
      <c r="A218" s="2" t="str">
        <f t="shared" si="5"/>
        <v>I</v>
      </c>
      <c r="B218" s="2">
        <f t="shared" si="6"/>
        <v>17</v>
      </c>
      <c r="C218" s="2" t="str">
        <f ca="1">IF((OFFSET('384 Well qPCR Layout'!A$11, 0, Sheet3!B36))="", "",  OFFSET('384 Well qPCR Layout'!A$11, 0, Sheet3!B36))</f>
        <v>BarLP17C (1:1000)</v>
      </c>
      <c r="D218" s="22"/>
      <c r="E218" s="22"/>
      <c r="F218" s="56">
        <v>6.9809999465942383</v>
      </c>
      <c r="O218" s="5"/>
    </row>
    <row r="219" spans="1:15" x14ac:dyDescent="0.2">
      <c r="A219" s="2" t="str">
        <f t="shared" si="5"/>
        <v>I</v>
      </c>
      <c r="B219" s="2">
        <f t="shared" si="6"/>
        <v>18</v>
      </c>
      <c r="C219" s="2" t="str">
        <f ca="1">IF((OFFSET('384 Well qPCR Layout'!A$11, 0, Sheet3!B37))="", "",  OFFSET('384 Well qPCR Layout'!A$11, 0, Sheet3!B37))</f>
        <v/>
      </c>
      <c r="D219" s="22"/>
      <c r="E219" s="22"/>
      <c r="F219" s="57" t="s">
        <v>252</v>
      </c>
      <c r="O219" s="5"/>
    </row>
    <row r="220" spans="1:15" x14ac:dyDescent="0.2">
      <c r="A220" s="2" t="str">
        <f t="shared" si="5"/>
        <v>I</v>
      </c>
      <c r="B220" s="2">
        <f t="shared" si="6"/>
        <v>19</v>
      </c>
      <c r="C220" s="2" t="str">
        <f ca="1">IF((OFFSET('384 Well qPCR Layout'!A$11, 0, Sheet3!B38))="", "",  OFFSET('384 Well qPCR Layout'!A$11, 0, Sheet3!B38))</f>
        <v>BarLP11H (1:1000)</v>
      </c>
      <c r="D220" s="22"/>
      <c r="E220" s="22"/>
      <c r="F220" s="57">
        <v>6.5359997749328613</v>
      </c>
    </row>
    <row r="221" spans="1:15" x14ac:dyDescent="0.2">
      <c r="A221" s="2" t="str">
        <f t="shared" si="5"/>
        <v>I</v>
      </c>
      <c r="B221" s="2">
        <f t="shared" si="6"/>
        <v>20</v>
      </c>
      <c r="C221" s="2" t="str">
        <f ca="1">IF((OFFSET('384 Well qPCR Layout'!A$11, 0, Sheet3!B39))="", "",  OFFSET('384 Well qPCR Layout'!A$11, 0, Sheet3!B39))</f>
        <v/>
      </c>
      <c r="D221" s="22"/>
      <c r="E221" s="22"/>
      <c r="F221" s="57" t="s">
        <v>252</v>
      </c>
    </row>
    <row r="222" spans="1:15" x14ac:dyDescent="0.2">
      <c r="A222" s="2" t="str">
        <f t="shared" si="5"/>
        <v>I</v>
      </c>
      <c r="B222" s="2">
        <f t="shared" si="6"/>
        <v>21</v>
      </c>
      <c r="C222" s="2" t="str">
        <f ca="1">IF((OFFSET('384 Well qPCR Layout'!A$11, 0, Sheet3!B40))="", "",  OFFSET('384 Well qPCR Layout'!A$11, 0, Sheet3!B40))</f>
        <v/>
      </c>
      <c r="D222" s="22"/>
      <c r="E222" s="22"/>
      <c r="F222" s="57" t="s">
        <v>252</v>
      </c>
    </row>
    <row r="223" spans="1:15" x14ac:dyDescent="0.2">
      <c r="A223" s="2" t="str">
        <f t="shared" si="5"/>
        <v>I</v>
      </c>
      <c r="B223" s="2">
        <f t="shared" si="6"/>
        <v>22</v>
      </c>
      <c r="C223" s="2" t="str">
        <f ca="1">IF((OFFSET('384 Well qPCR Layout'!A$11, 0, Sheet3!B41))="", "",  OFFSET('384 Well qPCR Layout'!A$11, 0, Sheet3!B41))</f>
        <v/>
      </c>
      <c r="D223" s="22"/>
      <c r="E223" s="22"/>
      <c r="F223" s="56">
        <v>32.812000274658203</v>
      </c>
      <c r="O223" s="5"/>
    </row>
    <row r="224" spans="1:15" x14ac:dyDescent="0.2">
      <c r="A224" s="2" t="str">
        <f t="shared" si="5"/>
        <v>I</v>
      </c>
      <c r="B224" s="2">
        <f t="shared" si="6"/>
        <v>23</v>
      </c>
      <c r="C224" s="2" t="str">
        <f ca="1">IF((OFFSET('384 Well qPCR Layout'!A$11, 0, Sheet3!B42))="", "",  OFFSET('384 Well qPCR Layout'!A$11, 0, Sheet3!B42))</f>
        <v/>
      </c>
      <c r="D224" s="22"/>
      <c r="E224" s="22"/>
      <c r="F224" s="56">
        <v>13.244999885559082</v>
      </c>
    </row>
    <row r="225" spans="1:15" x14ac:dyDescent="0.2">
      <c r="A225" s="2" t="str">
        <f t="shared" si="5"/>
        <v>I</v>
      </c>
      <c r="B225" s="2">
        <f t="shared" si="6"/>
        <v>24</v>
      </c>
      <c r="C225" s="2" t="str">
        <f ca="1">IF((OFFSET('384 Well qPCR Layout'!A$11, 0, Sheet3!B43))="", "",  OFFSET('384 Well qPCR Layout'!A$11, 0, Sheet3!B43))</f>
        <v/>
      </c>
      <c r="D225" s="22"/>
      <c r="E225" s="22"/>
      <c r="F225" s="57">
        <v>12.947999954223633</v>
      </c>
      <c r="O225" s="5"/>
    </row>
    <row r="226" spans="1:15" x14ac:dyDescent="0.2">
      <c r="A226" s="2" t="str">
        <f t="shared" si="5"/>
        <v>J</v>
      </c>
      <c r="B226" s="2">
        <f t="shared" si="6"/>
        <v>1</v>
      </c>
      <c r="C226" s="2" t="str">
        <f ca="1">IF((OFFSET('384 Well qPCR Layout'!A$12, 0, Sheet3!B20))="", "",  OFFSET('384 Well qPCR Layout'!A$12, 0, Sheet3!B20))</f>
        <v/>
      </c>
      <c r="D226" s="22"/>
      <c r="E226" s="22"/>
      <c r="F226" s="57">
        <v>6.869999885559082</v>
      </c>
      <c r="O226" s="5"/>
    </row>
    <row r="227" spans="1:15" x14ac:dyDescent="0.2">
      <c r="A227" s="2" t="str">
        <f t="shared" ref="A227:A290" si="7">CHAR(CODE(A203)+1)</f>
        <v>J</v>
      </c>
      <c r="B227" s="2">
        <f t="shared" ref="B227:B290" si="8">B203</f>
        <v>2</v>
      </c>
      <c r="C227" s="2" t="str">
        <f ca="1">IF((OFFSET('384 Well qPCR Layout'!A$12, 0, Sheet3!B21))="", "",  OFFSET('384 Well qPCR Layout'!A$12, 0, Sheet3!B21))</f>
        <v/>
      </c>
      <c r="D227" s="22"/>
      <c r="E227" s="22"/>
      <c r="F227" s="57">
        <v>14.36299991607666</v>
      </c>
      <c r="O227" s="5"/>
    </row>
    <row r="228" spans="1:15" x14ac:dyDescent="0.2">
      <c r="A228" s="2" t="str">
        <f t="shared" si="7"/>
        <v>J</v>
      </c>
      <c r="B228" s="2">
        <f t="shared" si="8"/>
        <v>3</v>
      </c>
      <c r="C228" s="2" t="str">
        <f ca="1">IF((OFFSET('384 Well qPCR Layout'!A$12, 0, Sheet3!B22))="", "",  OFFSET('384 Well qPCR Layout'!A$12, 0, Sheet3!B22))</f>
        <v/>
      </c>
      <c r="D228" s="22"/>
      <c r="E228" s="22"/>
      <c r="F228" s="57">
        <v>12.960000038146973</v>
      </c>
      <c r="O228" s="5"/>
    </row>
    <row r="229" spans="1:15" x14ac:dyDescent="0.2">
      <c r="A229" s="2" t="str">
        <f t="shared" si="7"/>
        <v>J</v>
      </c>
      <c r="B229" s="2">
        <f t="shared" si="8"/>
        <v>4</v>
      </c>
      <c r="C229" s="2" t="str">
        <f ca="1">IF((OFFSET('384 Well qPCR Layout'!A$12, 0, Sheet3!B23))="", "",  OFFSET('384 Well qPCR Layout'!A$12, 0, Sheet3!B23))</f>
        <v/>
      </c>
      <c r="D229" s="22"/>
      <c r="E229" s="22"/>
      <c r="F229" s="57" t="s">
        <v>252</v>
      </c>
      <c r="O229" s="5"/>
    </row>
    <row r="230" spans="1:15" x14ac:dyDescent="0.2">
      <c r="A230" s="2" t="str">
        <f t="shared" si="7"/>
        <v>J</v>
      </c>
      <c r="B230" s="2">
        <f t="shared" si="8"/>
        <v>5</v>
      </c>
      <c r="C230" s="2" t="str">
        <f ca="1">IF((OFFSET('384 Well qPCR Layout'!A$12, 0, Sheet3!B24))="", "",  OFFSET('384 Well qPCR Layout'!A$12, 0, Sheet3!B24))</f>
        <v/>
      </c>
      <c r="D230" s="22"/>
      <c r="E230" s="22"/>
      <c r="F230" s="57" t="s">
        <v>252</v>
      </c>
      <c r="O230" s="5"/>
    </row>
    <row r="231" spans="1:15" x14ac:dyDescent="0.2">
      <c r="A231" s="2" t="str">
        <f t="shared" si="7"/>
        <v>J</v>
      </c>
      <c r="B231" s="2">
        <f t="shared" si="8"/>
        <v>6</v>
      </c>
      <c r="C231" s="2" t="str">
        <f ca="1">IF((OFFSET('384 Well qPCR Layout'!A$12, 0, Sheet3!B25))="", "",  OFFSET('384 Well qPCR Layout'!A$12, 0, Sheet3!B25))</f>
        <v/>
      </c>
      <c r="D231" s="22"/>
      <c r="E231" s="22"/>
      <c r="F231" s="57">
        <v>6.9409999847412109</v>
      </c>
      <c r="O231" s="5"/>
    </row>
    <row r="232" spans="1:15" x14ac:dyDescent="0.2">
      <c r="A232" s="2" t="str">
        <f t="shared" si="7"/>
        <v>J</v>
      </c>
      <c r="B232" s="2">
        <f t="shared" si="8"/>
        <v>7</v>
      </c>
      <c r="C232" s="2" t="str">
        <f ca="1">IF((OFFSET('384 Well qPCR Layout'!A$12, 0, Sheet3!B26))="", "",  OFFSET('384 Well qPCR Layout'!A$12, 0, Sheet3!B26))</f>
        <v/>
      </c>
      <c r="D232" s="22"/>
      <c r="E232" s="22"/>
      <c r="F232" s="57">
        <v>6.6119999885559082</v>
      </c>
    </row>
    <row r="233" spans="1:15" x14ac:dyDescent="0.2">
      <c r="A233" s="2" t="str">
        <f t="shared" si="7"/>
        <v>J</v>
      </c>
      <c r="B233" s="2">
        <f t="shared" si="8"/>
        <v>8</v>
      </c>
      <c r="C233" s="2" t="str">
        <f ca="1">IF((OFFSET('384 Well qPCR Layout'!A$12, 0, Sheet3!B27))="", "",  OFFSET('384 Well qPCR Layout'!A$12, 0, Sheet3!B27))</f>
        <v/>
      </c>
      <c r="D233" s="22"/>
      <c r="E233" s="22"/>
      <c r="F233" s="57" t="s">
        <v>252</v>
      </c>
      <c r="O233" s="5"/>
    </row>
    <row r="234" spans="1:15" x14ac:dyDescent="0.2">
      <c r="A234" s="2" t="str">
        <f t="shared" si="7"/>
        <v>J</v>
      </c>
      <c r="B234" s="2">
        <f t="shared" si="8"/>
        <v>9</v>
      </c>
      <c r="C234" s="2" t="str">
        <f ca="1">IF((OFFSET('384 Well qPCR Layout'!A$12, 0, Sheet3!B28))="", "",  OFFSET('384 Well qPCR Layout'!A$12, 0, Sheet3!B28))</f>
        <v/>
      </c>
      <c r="D234" s="22"/>
      <c r="E234" s="22"/>
      <c r="F234" s="57">
        <v>10.133000373840332</v>
      </c>
      <c r="O234" s="5"/>
    </row>
    <row r="235" spans="1:15" x14ac:dyDescent="0.2">
      <c r="A235" s="2" t="str">
        <f t="shared" si="7"/>
        <v>J</v>
      </c>
      <c r="B235" s="2">
        <f t="shared" si="8"/>
        <v>10</v>
      </c>
      <c r="C235" s="2" t="str">
        <f ca="1">IF((OFFSET('384 Well qPCR Layout'!A$12, 0, Sheet3!B29))="", "",  OFFSET('384 Well qPCR Layout'!A$12, 0, Sheet3!B29))</f>
        <v/>
      </c>
      <c r="D235" s="22"/>
      <c r="E235" s="22"/>
      <c r="F235" s="57" t="s">
        <v>252</v>
      </c>
      <c r="O235" s="5"/>
    </row>
    <row r="236" spans="1:15" x14ac:dyDescent="0.2">
      <c r="A236" s="2" t="str">
        <f t="shared" si="7"/>
        <v>J</v>
      </c>
      <c r="B236" s="2">
        <f t="shared" si="8"/>
        <v>11</v>
      </c>
      <c r="C236" s="2" t="str">
        <f ca="1">IF((OFFSET('384 Well qPCR Layout'!A$12, 0, Sheet3!B30))="", "",  OFFSET('384 Well qPCR Layout'!A$12, 0, Sheet3!B30))</f>
        <v/>
      </c>
      <c r="D236" s="22"/>
      <c r="E236" s="22"/>
      <c r="F236" s="57" t="s">
        <v>252</v>
      </c>
      <c r="O236" s="5"/>
    </row>
    <row r="237" spans="1:15" x14ac:dyDescent="0.2">
      <c r="A237" s="2" t="str">
        <f t="shared" si="7"/>
        <v>J</v>
      </c>
      <c r="B237" s="2">
        <f t="shared" si="8"/>
        <v>12</v>
      </c>
      <c r="C237" s="2" t="str">
        <f ca="1">IF((OFFSET('384 Well qPCR Layout'!A$12, 0, Sheet3!B31))="", "",  OFFSET('384 Well qPCR Layout'!A$12, 0, Sheet3!B31))</f>
        <v/>
      </c>
      <c r="D237" s="22"/>
      <c r="E237" s="22"/>
      <c r="F237" s="57" t="s">
        <v>252</v>
      </c>
      <c r="O237" s="5"/>
    </row>
    <row r="238" spans="1:15" x14ac:dyDescent="0.2">
      <c r="A238" s="2" t="str">
        <f t="shared" si="7"/>
        <v>J</v>
      </c>
      <c r="B238" s="2">
        <f t="shared" si="8"/>
        <v>13</v>
      </c>
      <c r="C238" s="2" t="str">
        <f ca="1">IF((OFFSET('384 Well qPCR Layout'!A$12, 0, Sheet3!B32))="", "",  OFFSET('384 Well qPCR Layout'!A$12, 0, Sheet3!B32))</f>
        <v/>
      </c>
      <c r="D238" s="22"/>
      <c r="E238" s="22"/>
      <c r="F238" s="57">
        <v>10.866000175476074</v>
      </c>
      <c r="O238" s="5"/>
    </row>
    <row r="239" spans="1:15" x14ac:dyDescent="0.2">
      <c r="A239" s="2" t="str">
        <f t="shared" si="7"/>
        <v>J</v>
      </c>
      <c r="B239" s="2">
        <f t="shared" si="8"/>
        <v>14</v>
      </c>
      <c r="C239" s="2" t="str">
        <f ca="1">IF((OFFSET('384 Well qPCR Layout'!A$12, 0, Sheet3!B33))="", "",  OFFSET('384 Well qPCR Layout'!A$12, 0, Sheet3!B33))</f>
        <v/>
      </c>
      <c r="D239" s="22"/>
      <c r="E239" s="22"/>
      <c r="F239" s="57">
        <v>8.8780002593994141</v>
      </c>
      <c r="O239" s="5"/>
    </row>
    <row r="240" spans="1:15" x14ac:dyDescent="0.2">
      <c r="A240" s="2" t="str">
        <f t="shared" si="7"/>
        <v>J</v>
      </c>
      <c r="B240" s="2">
        <f t="shared" si="8"/>
        <v>15</v>
      </c>
      <c r="C240" s="2" t="str">
        <f ca="1">IF((OFFSET('384 Well qPCR Layout'!A$12, 0, Sheet3!B34))="", "",  OFFSET('384 Well qPCR Layout'!A$12, 0, Sheet3!B34))</f>
        <v/>
      </c>
      <c r="D240" s="22"/>
      <c r="E240" s="22"/>
      <c r="F240" s="57">
        <v>7.1579999923706055</v>
      </c>
      <c r="O240" s="5"/>
    </row>
    <row r="241" spans="1:15" x14ac:dyDescent="0.2">
      <c r="A241" s="2" t="str">
        <f t="shared" si="7"/>
        <v>J</v>
      </c>
      <c r="B241" s="2">
        <f t="shared" si="8"/>
        <v>16</v>
      </c>
      <c r="C241" s="2" t="str">
        <f ca="1">IF((OFFSET('384 Well qPCR Layout'!A$12, 0, Sheet3!B35))="", "",  OFFSET('384 Well qPCR Layout'!A$12, 0, Sheet3!B35))</f>
        <v/>
      </c>
      <c r="D241" s="22"/>
      <c r="E241" s="22"/>
      <c r="F241" s="57" t="s">
        <v>252</v>
      </c>
      <c r="O241" s="5"/>
    </row>
    <row r="242" spans="1:15" x14ac:dyDescent="0.2">
      <c r="A242" s="2" t="str">
        <f t="shared" si="7"/>
        <v>J</v>
      </c>
      <c r="B242" s="2">
        <f t="shared" si="8"/>
        <v>17</v>
      </c>
      <c r="C242" s="2" t="str">
        <f ca="1">IF((OFFSET('384 Well qPCR Layout'!A$12, 0, Sheet3!B36))="", "",  OFFSET('384 Well qPCR Layout'!A$12, 0, Sheet3!B36))</f>
        <v/>
      </c>
      <c r="D242" s="22"/>
      <c r="E242" s="22"/>
      <c r="F242" s="57">
        <v>9.7770004272460938</v>
      </c>
      <c r="O242" s="5"/>
    </row>
    <row r="243" spans="1:15" x14ac:dyDescent="0.2">
      <c r="A243" s="2" t="str">
        <f t="shared" si="7"/>
        <v>J</v>
      </c>
      <c r="B243" s="2">
        <f t="shared" si="8"/>
        <v>18</v>
      </c>
      <c r="C243" s="2" t="str">
        <f ca="1">IF((OFFSET('384 Well qPCR Layout'!A$12, 0, Sheet3!B37))="", "",  OFFSET('384 Well qPCR Layout'!A$12, 0, Sheet3!B37))</f>
        <v/>
      </c>
      <c r="D243" s="22"/>
      <c r="E243" s="22"/>
      <c r="F243" s="57" t="s">
        <v>252</v>
      </c>
    </row>
    <row r="244" spans="1:15" x14ac:dyDescent="0.2">
      <c r="A244" s="2" t="str">
        <f t="shared" si="7"/>
        <v>J</v>
      </c>
      <c r="B244" s="2">
        <f t="shared" si="8"/>
        <v>19</v>
      </c>
      <c r="C244" s="2" t="str">
        <f ca="1">IF((OFFSET('384 Well qPCR Layout'!A$12, 0, Sheet3!B38))="", "",  OFFSET('384 Well qPCR Layout'!A$12, 0, Sheet3!B38))</f>
        <v/>
      </c>
      <c r="D244" s="22"/>
      <c r="E244" s="22"/>
      <c r="F244" s="57">
        <v>7.059999942779541</v>
      </c>
      <c r="O244" s="5"/>
    </row>
    <row r="245" spans="1:15" x14ac:dyDescent="0.2">
      <c r="A245" s="2" t="str">
        <f t="shared" si="7"/>
        <v>J</v>
      </c>
      <c r="B245" s="2">
        <f t="shared" si="8"/>
        <v>20</v>
      </c>
      <c r="C245" s="2" t="str">
        <f ca="1">IF((OFFSET('384 Well qPCR Layout'!A$12, 0, Sheet3!B39))="", "",  OFFSET('384 Well qPCR Layout'!A$12, 0, Sheet3!B39))</f>
        <v/>
      </c>
      <c r="D245" s="22"/>
      <c r="E245" s="22"/>
      <c r="F245" s="57" t="s">
        <v>252</v>
      </c>
    </row>
    <row r="246" spans="1:15" x14ac:dyDescent="0.2">
      <c r="A246" s="2" t="str">
        <f t="shared" si="7"/>
        <v>J</v>
      </c>
      <c r="B246" s="2">
        <f t="shared" si="8"/>
        <v>21</v>
      </c>
      <c r="C246" s="2" t="str">
        <f ca="1">IF((OFFSET('384 Well qPCR Layout'!A$12, 0, Sheet3!B40))="", "",  OFFSET('384 Well qPCR Layout'!A$12, 0, Sheet3!B40))</f>
        <v/>
      </c>
      <c r="D246" s="22"/>
      <c r="E246" s="22"/>
      <c r="F246" s="57">
        <v>17.024999618530273</v>
      </c>
    </row>
    <row r="247" spans="1:15" x14ac:dyDescent="0.2">
      <c r="A247" s="2" t="str">
        <f t="shared" si="7"/>
        <v>J</v>
      </c>
      <c r="B247" s="2">
        <f t="shared" si="8"/>
        <v>22</v>
      </c>
      <c r="C247" s="2" t="str">
        <f ca="1">IF((OFFSET('384 Well qPCR Layout'!A$12, 0, Sheet3!B41))="", "",  OFFSET('384 Well qPCR Layout'!A$12, 0, Sheet3!B41))</f>
        <v>NTC</v>
      </c>
      <c r="D247" s="22"/>
      <c r="E247" s="22"/>
      <c r="F247" s="57">
        <v>26.159000396728516</v>
      </c>
    </row>
    <row r="248" spans="1:15" x14ac:dyDescent="0.2">
      <c r="A248" s="2" t="str">
        <f t="shared" si="7"/>
        <v>J</v>
      </c>
      <c r="B248" s="2">
        <f t="shared" si="8"/>
        <v>23</v>
      </c>
      <c r="C248" s="2" t="str">
        <f ca="1">IF((OFFSET('384 Well qPCR Layout'!A$12, 0, Sheet3!B42))="", "",  OFFSET('384 Well qPCR Layout'!A$12, 0, Sheet3!B42))</f>
        <v/>
      </c>
      <c r="D248" s="22"/>
      <c r="E248" s="22"/>
      <c r="F248" s="57" t="s">
        <v>252</v>
      </c>
      <c r="O248" s="5"/>
    </row>
    <row r="249" spans="1:15" x14ac:dyDescent="0.2">
      <c r="A249" s="2" t="str">
        <f t="shared" si="7"/>
        <v>J</v>
      </c>
      <c r="B249" s="2">
        <f t="shared" si="8"/>
        <v>24</v>
      </c>
      <c r="C249" s="2" t="str">
        <f ca="1">IF((OFFSET('384 Well qPCR Layout'!A$12, 0, Sheet3!B43))="", "",  OFFSET('384 Well qPCR Layout'!A$12, 0, Sheet3!B43))</f>
        <v>Standard 1</v>
      </c>
      <c r="D249" s="22"/>
      <c r="E249" s="22"/>
      <c r="F249" s="57">
        <v>8.7779998779296875</v>
      </c>
      <c r="O249" s="5"/>
    </row>
    <row r="250" spans="1:15" x14ac:dyDescent="0.2">
      <c r="A250" s="2" t="str">
        <f t="shared" si="7"/>
        <v>K</v>
      </c>
      <c r="B250" s="2">
        <f t="shared" si="8"/>
        <v>1</v>
      </c>
      <c r="C250" s="2" t="str">
        <f ca="1">IF((OFFSET('384 Well qPCR Layout'!A$13, 0, Sheet3!B20))="", "",  OFFSET('384 Well qPCR Layout'!A$13, 0, Sheet3!B20))</f>
        <v>2AP10 (1:1000)</v>
      </c>
      <c r="D250" s="22"/>
      <c r="E250" s="22"/>
      <c r="F250" s="57">
        <v>7.4029998779296875</v>
      </c>
      <c r="O250" s="5"/>
    </row>
    <row r="251" spans="1:15" x14ac:dyDescent="0.2">
      <c r="A251" s="2" t="str">
        <f t="shared" si="7"/>
        <v>K</v>
      </c>
      <c r="B251" s="2">
        <f t="shared" si="8"/>
        <v>2</v>
      </c>
      <c r="C251" s="2" t="str">
        <f ca="1">IF((OFFSET('384 Well qPCR Layout'!A$13, 0, Sheet3!B21))="", "",  OFFSET('384 Well qPCR Layout'!A$13, 0, Sheet3!B21))</f>
        <v/>
      </c>
      <c r="D251" s="22"/>
      <c r="E251" s="22"/>
      <c r="F251" s="56">
        <v>10.13700008392334</v>
      </c>
      <c r="O251" s="5"/>
    </row>
    <row r="252" spans="1:15" x14ac:dyDescent="0.2">
      <c r="A252" s="2" t="str">
        <f t="shared" si="7"/>
        <v>K</v>
      </c>
      <c r="B252" s="2">
        <f t="shared" si="8"/>
        <v>3</v>
      </c>
      <c r="C252" s="2" t="str">
        <f ca="1">IF((OFFSET('384 Well qPCR Layout'!A$13, 0, Sheet3!B22))="", "",  OFFSET('384 Well qPCR Layout'!A$13, 0, Sheet3!B22))</f>
        <v>2AP18 (1:1000)</v>
      </c>
      <c r="D252" s="22"/>
      <c r="E252" s="22"/>
      <c r="F252" s="57">
        <v>10.96399974822998</v>
      </c>
      <c r="O252" s="5"/>
    </row>
    <row r="253" spans="1:15" x14ac:dyDescent="0.2">
      <c r="A253" s="2" t="str">
        <f t="shared" si="7"/>
        <v>K</v>
      </c>
      <c r="B253" s="2">
        <f t="shared" si="8"/>
        <v>4</v>
      </c>
      <c r="C253" s="2" t="str">
        <f ca="1">IF((OFFSET('384 Well qPCR Layout'!A$13, 0, Sheet3!B23))="", "",  OFFSET('384 Well qPCR Layout'!A$13, 0, Sheet3!B23))</f>
        <v/>
      </c>
      <c r="D253" s="22"/>
      <c r="E253" s="22"/>
      <c r="F253" s="57" t="s">
        <v>252</v>
      </c>
      <c r="O253" s="5"/>
    </row>
    <row r="254" spans="1:15" x14ac:dyDescent="0.2">
      <c r="A254" s="2" t="str">
        <f t="shared" si="7"/>
        <v>K</v>
      </c>
      <c r="B254" s="2">
        <f t="shared" si="8"/>
        <v>5</v>
      </c>
      <c r="C254" s="2" t="str">
        <f ca="1">IF((OFFSET('384 Well qPCR Layout'!A$13, 0, Sheet3!B24))="", "",  OFFSET('384 Well qPCR Layout'!A$13, 0, Sheet3!B24))</f>
        <v>2AP26 (1:1000)</v>
      </c>
      <c r="D254" s="22"/>
      <c r="E254" s="22"/>
      <c r="F254" s="56">
        <v>7.750999927520752</v>
      </c>
      <c r="O254" s="5"/>
    </row>
    <row r="255" spans="1:15" x14ac:dyDescent="0.2">
      <c r="A255" s="2" t="str">
        <f t="shared" si="7"/>
        <v>K</v>
      </c>
      <c r="B255" s="2">
        <f t="shared" si="8"/>
        <v>6</v>
      </c>
      <c r="C255" s="2" t="str">
        <f ca="1">IF((OFFSET('384 Well qPCR Layout'!A$13, 0, Sheet3!B25))="", "",  OFFSET('384 Well qPCR Layout'!A$13, 0, Sheet3!B25))</f>
        <v/>
      </c>
      <c r="D255" s="22"/>
      <c r="E255" s="22"/>
      <c r="F255" s="56">
        <v>6.8369998931884766</v>
      </c>
      <c r="O255" s="5"/>
    </row>
    <row r="256" spans="1:15" x14ac:dyDescent="0.2">
      <c r="A256" s="2" t="str">
        <f t="shared" si="7"/>
        <v>K</v>
      </c>
      <c r="B256" s="2">
        <f t="shared" si="8"/>
        <v>7</v>
      </c>
      <c r="C256" s="2" t="str">
        <f ca="1">IF((OFFSET('384 Well qPCR Layout'!A$13, 0, Sheet3!B26))="", "",  OFFSET('384 Well qPCR Layout'!A$13, 0, Sheet3!B26))</f>
        <v>L0P8 (1:1000)</v>
      </c>
      <c r="D256" s="22"/>
      <c r="E256" s="22"/>
      <c r="F256" s="57">
        <v>7.9650001525878906</v>
      </c>
    </row>
    <row r="257" spans="1:15" x14ac:dyDescent="0.2">
      <c r="A257" s="2" t="str">
        <f t="shared" si="7"/>
        <v>K</v>
      </c>
      <c r="B257" s="2">
        <f t="shared" si="8"/>
        <v>8</v>
      </c>
      <c r="C257" s="2" t="str">
        <f ca="1">IF((OFFSET('384 Well qPCR Layout'!A$13, 0, Sheet3!B27))="", "",  OFFSET('384 Well qPCR Layout'!A$13, 0, Sheet3!B27))</f>
        <v/>
      </c>
      <c r="D257" s="22"/>
      <c r="E257" s="22"/>
      <c r="F257" s="57">
        <v>7.439000129699707</v>
      </c>
      <c r="O257" s="5"/>
    </row>
    <row r="258" spans="1:15" x14ac:dyDescent="0.2">
      <c r="A258" s="2" t="str">
        <f t="shared" si="7"/>
        <v>K</v>
      </c>
      <c r="B258" s="2">
        <f t="shared" si="8"/>
        <v>9</v>
      </c>
      <c r="C258" s="2" t="str">
        <f ca="1">IF((OFFSET('384 Well qPCR Layout'!A$13, 0, Sheet3!B28))="", "",  OFFSET('384 Well qPCR Layout'!A$13, 0, Sheet3!B28))</f>
        <v>L0P16 (1:1000)</v>
      </c>
      <c r="D258" s="22"/>
      <c r="E258" s="22"/>
      <c r="F258" s="57">
        <v>7.5539999008178711</v>
      </c>
      <c r="O258" s="5"/>
    </row>
    <row r="259" spans="1:15" x14ac:dyDescent="0.2">
      <c r="A259" s="2" t="str">
        <f t="shared" si="7"/>
        <v>K</v>
      </c>
      <c r="B259" s="2">
        <f t="shared" si="8"/>
        <v>10</v>
      </c>
      <c r="C259" s="2" t="str">
        <f ca="1">IF((OFFSET('384 Well qPCR Layout'!A$13, 0, Sheet3!B29))="", "",  OFFSET('384 Well qPCR Layout'!A$13, 0, Sheet3!B29))</f>
        <v/>
      </c>
      <c r="D259" s="22"/>
      <c r="E259" s="22"/>
      <c r="F259" s="56">
        <v>10.378000259399414</v>
      </c>
      <c r="O259" s="5"/>
    </row>
    <row r="260" spans="1:15" x14ac:dyDescent="0.2">
      <c r="A260" s="2" t="str">
        <f t="shared" si="7"/>
        <v>K</v>
      </c>
      <c r="B260" s="2">
        <f t="shared" si="8"/>
        <v>11</v>
      </c>
      <c r="C260" s="2" t="str">
        <f ca="1">IF((OFFSET('384 Well qPCR Layout'!A$13, 0, Sheet3!B30))="", "",  OFFSET('384 Well qPCR Layout'!A$13, 0, Sheet3!B30))</f>
        <v>L0P24 (1:1000)</v>
      </c>
      <c r="D260" s="22"/>
      <c r="E260" s="22"/>
      <c r="F260" s="56">
        <v>8.4700002670288086</v>
      </c>
      <c r="O260" s="5"/>
    </row>
    <row r="261" spans="1:15" x14ac:dyDescent="0.2">
      <c r="A261" s="2" t="str">
        <f t="shared" si="7"/>
        <v>K</v>
      </c>
      <c r="B261" s="2">
        <f t="shared" si="8"/>
        <v>12</v>
      </c>
      <c r="C261" s="2" t="str">
        <f ca="1">IF((OFFSET('384 Well qPCR Layout'!A$13, 0, Sheet3!B31))="", "",  OFFSET('384 Well qPCR Layout'!A$13, 0, Sheet3!B31))</f>
        <v/>
      </c>
      <c r="D261" s="22"/>
      <c r="E261" s="22"/>
      <c r="F261" s="57">
        <v>8.6000003814697266</v>
      </c>
      <c r="O261" s="5"/>
    </row>
    <row r="262" spans="1:15" x14ac:dyDescent="0.2">
      <c r="A262" s="2" t="str">
        <f t="shared" si="7"/>
        <v>K</v>
      </c>
      <c r="B262" s="2">
        <f t="shared" si="8"/>
        <v>13</v>
      </c>
      <c r="C262" s="2" t="str">
        <f ca="1">IF((OFFSET('384 Well qPCR Layout'!A$13, 0, Sheet3!B32))="", "",  OFFSET('384 Well qPCR Layout'!A$13, 0, Sheet3!B32))</f>
        <v/>
      </c>
      <c r="D262" s="22"/>
      <c r="E262" s="22"/>
      <c r="F262" s="57" t="s">
        <v>252</v>
      </c>
      <c r="O262" s="5"/>
    </row>
    <row r="263" spans="1:15" x14ac:dyDescent="0.2">
      <c r="A263" s="2" t="str">
        <f t="shared" si="7"/>
        <v>K</v>
      </c>
      <c r="B263" s="2">
        <f t="shared" si="8"/>
        <v>14</v>
      </c>
      <c r="C263" s="2" t="str">
        <f ca="1">IF((OFFSET('384 Well qPCR Layout'!A$13, 0, Sheet3!B33))="", "",  OFFSET('384 Well qPCR Layout'!A$13, 0, Sheet3!B33))</f>
        <v/>
      </c>
      <c r="D263" s="22"/>
      <c r="E263" s="22"/>
      <c r="F263" s="56">
        <v>7.3130002021789551</v>
      </c>
      <c r="O263" s="5"/>
    </row>
    <row r="264" spans="1:15" x14ac:dyDescent="0.2">
      <c r="A264" s="2" t="str">
        <f t="shared" si="7"/>
        <v>K</v>
      </c>
      <c r="B264" s="2">
        <f t="shared" si="8"/>
        <v>15</v>
      </c>
      <c r="C264" s="2" t="str">
        <f ca="1">IF((OFFSET('384 Well qPCR Layout'!A$13, 0, Sheet3!B34))="", "",  OFFSET('384 Well qPCR Layout'!A$13, 0, Sheet3!B34))</f>
        <v>BarLP10C (1:1000)</v>
      </c>
      <c r="D264" s="22"/>
      <c r="E264" s="22"/>
      <c r="F264" s="57">
        <v>7.2600002288818359</v>
      </c>
      <c r="O264" s="5"/>
    </row>
    <row r="265" spans="1:15" x14ac:dyDescent="0.2">
      <c r="A265" s="2" t="str">
        <f t="shared" si="7"/>
        <v>K</v>
      </c>
      <c r="B265" s="2">
        <f t="shared" si="8"/>
        <v>16</v>
      </c>
      <c r="C265" s="2" t="str">
        <f ca="1">IF((OFFSET('384 Well qPCR Layout'!A$13, 0, Sheet3!B35))="", "",  OFFSET('384 Well qPCR Layout'!A$13, 0, Sheet3!B35))</f>
        <v/>
      </c>
      <c r="D265" s="22"/>
      <c r="E265" s="22"/>
      <c r="F265" s="57" t="s">
        <v>252</v>
      </c>
      <c r="O265" s="5"/>
    </row>
    <row r="266" spans="1:15" x14ac:dyDescent="0.2">
      <c r="A266" s="2" t="str">
        <f t="shared" si="7"/>
        <v>K</v>
      </c>
      <c r="B266" s="2">
        <f t="shared" si="8"/>
        <v>17</v>
      </c>
      <c r="C266" s="2" t="str">
        <f ca="1">IF((OFFSET('384 Well qPCR Layout'!A$13, 0, Sheet3!B36))="", "",  OFFSET('384 Well qPCR Layout'!A$13, 0, Sheet3!B36))</f>
        <v>BarLP18C (1:1000)</v>
      </c>
      <c r="D266" s="22"/>
      <c r="E266" s="22"/>
      <c r="F266" s="56">
        <v>7.0110001564025879</v>
      </c>
      <c r="O266" s="5"/>
    </row>
    <row r="267" spans="1:15" x14ac:dyDescent="0.2">
      <c r="A267" s="2" t="str">
        <f t="shared" si="7"/>
        <v>K</v>
      </c>
      <c r="B267" s="2">
        <f t="shared" si="8"/>
        <v>18</v>
      </c>
      <c r="C267" s="2" t="str">
        <f ca="1">IF((OFFSET('384 Well qPCR Layout'!A$13, 0, Sheet3!B37))="", "",  OFFSET('384 Well qPCR Layout'!A$13, 0, Sheet3!B37))</f>
        <v/>
      </c>
      <c r="D267" s="22"/>
      <c r="E267" s="22"/>
      <c r="F267" s="57">
        <v>6.7560000419616699</v>
      </c>
    </row>
    <row r="268" spans="1:15" x14ac:dyDescent="0.2">
      <c r="A268" s="2" t="str">
        <f t="shared" si="7"/>
        <v>K</v>
      </c>
      <c r="B268" s="2">
        <f t="shared" si="8"/>
        <v>19</v>
      </c>
      <c r="C268" s="2" t="str">
        <f ca="1">IF((OFFSET('384 Well qPCR Layout'!A$13, 0, Sheet3!B38))="", "",  OFFSET('384 Well qPCR Layout'!A$13, 0, Sheet3!B38))</f>
        <v>BarLP12H (1:1000)</v>
      </c>
      <c r="D268" s="22"/>
      <c r="E268" s="22"/>
      <c r="F268" s="57">
        <v>7.3810000419616699</v>
      </c>
      <c r="O268" s="5"/>
    </row>
    <row r="269" spans="1:15" x14ac:dyDescent="0.2">
      <c r="A269" s="2" t="str">
        <f t="shared" si="7"/>
        <v>K</v>
      </c>
      <c r="B269" s="2">
        <f t="shared" si="8"/>
        <v>20</v>
      </c>
      <c r="C269" s="2" t="str">
        <f ca="1">IF((OFFSET('384 Well qPCR Layout'!A$13, 0, Sheet3!B39))="", "",  OFFSET('384 Well qPCR Layout'!A$13, 0, Sheet3!B39))</f>
        <v/>
      </c>
      <c r="D269" s="22"/>
      <c r="E269" s="22"/>
      <c r="F269" s="57" t="s">
        <v>252</v>
      </c>
    </row>
    <row r="270" spans="1:15" x14ac:dyDescent="0.2">
      <c r="A270" s="2" t="str">
        <f t="shared" si="7"/>
        <v>K</v>
      </c>
      <c r="B270" s="2">
        <f t="shared" si="8"/>
        <v>21</v>
      </c>
      <c r="C270" s="2" t="str">
        <f ca="1">IF((OFFSET('384 Well qPCR Layout'!A$13, 0, Sheet3!B40))="", "",  OFFSET('384 Well qPCR Layout'!A$13, 0, Sheet3!B40))</f>
        <v/>
      </c>
      <c r="D270" s="22"/>
      <c r="E270" s="22"/>
      <c r="F270" s="57">
        <v>5.6409997940063477</v>
      </c>
      <c r="O270" s="5"/>
    </row>
    <row r="271" spans="1:15" x14ac:dyDescent="0.2">
      <c r="A271" s="2" t="str">
        <f t="shared" si="7"/>
        <v>K</v>
      </c>
      <c r="B271" s="2">
        <f t="shared" si="8"/>
        <v>22</v>
      </c>
      <c r="C271" s="2" t="str">
        <f ca="1">IF((OFFSET('384 Well qPCR Layout'!A$13, 0, Sheet3!B41))="", "",  OFFSET('384 Well qPCR Layout'!A$13, 0, Sheet3!B41))</f>
        <v/>
      </c>
      <c r="D271" s="22"/>
      <c r="E271" s="22"/>
      <c r="F271" s="57" t="s">
        <v>252</v>
      </c>
    </row>
    <row r="272" spans="1:15" x14ac:dyDescent="0.2">
      <c r="A272" s="2" t="str">
        <f t="shared" si="7"/>
        <v>K</v>
      </c>
      <c r="B272" s="2">
        <f t="shared" si="8"/>
        <v>23</v>
      </c>
      <c r="C272" s="2" t="str">
        <f ca="1">IF((OFFSET('384 Well qPCR Layout'!A$13, 0, Sheet3!B42))="", "",  OFFSET('384 Well qPCR Layout'!A$13, 0, Sheet3!B42))</f>
        <v/>
      </c>
      <c r="D272" s="22"/>
      <c r="E272" s="22"/>
      <c r="F272" s="56" t="s">
        <v>252</v>
      </c>
    </row>
    <row r="273" spans="1:15" x14ac:dyDescent="0.2">
      <c r="A273" s="2" t="str">
        <f t="shared" si="7"/>
        <v>K</v>
      </c>
      <c r="B273" s="2">
        <f t="shared" si="8"/>
        <v>24</v>
      </c>
      <c r="C273" s="2" t="str">
        <f ca="1">IF((OFFSET('384 Well qPCR Layout'!A$13, 0, Sheet3!B43))="", "",  OFFSET('384 Well qPCR Layout'!A$13, 0, Sheet3!B43))</f>
        <v/>
      </c>
      <c r="D273" s="22"/>
      <c r="E273" s="22"/>
      <c r="F273" s="57" t="s">
        <v>252</v>
      </c>
    </row>
    <row r="274" spans="1:15" x14ac:dyDescent="0.2">
      <c r="A274" s="2" t="str">
        <f t="shared" si="7"/>
        <v>L</v>
      </c>
      <c r="B274" s="2">
        <f t="shared" si="8"/>
        <v>1</v>
      </c>
      <c r="C274" s="2" t="str">
        <f ca="1">IF((OFFSET('384 Well qPCR Layout'!A$14, 0, Sheet3!B20))="", "",  OFFSET('384 Well qPCR Layout'!A$14, 0, Sheet3!B20))</f>
        <v/>
      </c>
      <c r="D274" s="22"/>
      <c r="E274" s="22"/>
      <c r="F274" s="57" t="s">
        <v>252</v>
      </c>
    </row>
    <row r="275" spans="1:15" x14ac:dyDescent="0.2">
      <c r="A275" s="2" t="str">
        <f t="shared" si="7"/>
        <v>L</v>
      </c>
      <c r="B275" s="2">
        <f t="shared" si="8"/>
        <v>2</v>
      </c>
      <c r="C275" s="2" t="str">
        <f ca="1">IF((OFFSET('384 Well qPCR Layout'!A$14, 0, Sheet3!B21))="", "",  OFFSET('384 Well qPCR Layout'!A$14, 0, Sheet3!B21))</f>
        <v/>
      </c>
      <c r="D275" s="22"/>
      <c r="E275" s="22"/>
      <c r="F275" s="57" t="s">
        <v>252</v>
      </c>
      <c r="O275" s="5"/>
    </row>
    <row r="276" spans="1:15" x14ac:dyDescent="0.2">
      <c r="A276" s="2" t="str">
        <f t="shared" si="7"/>
        <v>L</v>
      </c>
      <c r="B276" s="2">
        <f t="shared" si="8"/>
        <v>3</v>
      </c>
      <c r="C276" s="2" t="str">
        <f ca="1">IF((OFFSET('384 Well qPCR Layout'!A$14, 0, Sheet3!B22))="", "",  OFFSET('384 Well qPCR Layout'!A$14, 0, Sheet3!B22))</f>
        <v/>
      </c>
      <c r="D276" s="22"/>
      <c r="E276" s="22"/>
      <c r="F276" s="57" t="s">
        <v>252</v>
      </c>
      <c r="O276" s="5"/>
    </row>
    <row r="277" spans="1:15" x14ac:dyDescent="0.2">
      <c r="A277" s="2" t="str">
        <f t="shared" si="7"/>
        <v>L</v>
      </c>
      <c r="B277" s="2">
        <f t="shared" si="8"/>
        <v>4</v>
      </c>
      <c r="C277" s="2" t="str">
        <f ca="1">IF((OFFSET('384 Well qPCR Layout'!A$14, 0, Sheet3!B23))="", "",  OFFSET('384 Well qPCR Layout'!A$14, 0, Sheet3!B23))</f>
        <v/>
      </c>
      <c r="D277" s="22"/>
      <c r="E277" s="22"/>
      <c r="F277" s="57" t="s">
        <v>252</v>
      </c>
      <c r="O277" s="5"/>
    </row>
    <row r="278" spans="1:15" x14ac:dyDescent="0.2">
      <c r="A278" s="2" t="str">
        <f t="shared" si="7"/>
        <v>L</v>
      </c>
      <c r="B278" s="2">
        <f t="shared" si="8"/>
        <v>5</v>
      </c>
      <c r="C278" s="2" t="str">
        <f ca="1">IF((OFFSET('384 Well qPCR Layout'!A$14, 0, Sheet3!B24))="", "",  OFFSET('384 Well qPCR Layout'!A$14, 0, Sheet3!B24))</f>
        <v/>
      </c>
      <c r="D278" s="22"/>
      <c r="E278" s="22"/>
      <c r="F278" s="57">
        <v>5.1329998970031738</v>
      </c>
      <c r="O278" s="5"/>
    </row>
    <row r="279" spans="1:15" x14ac:dyDescent="0.2">
      <c r="A279" s="2" t="str">
        <f t="shared" si="7"/>
        <v>L</v>
      </c>
      <c r="B279" s="2">
        <f t="shared" si="8"/>
        <v>6</v>
      </c>
      <c r="C279" s="2" t="str">
        <f ca="1">IF((OFFSET('384 Well qPCR Layout'!A$14, 0, Sheet3!B25))="", "",  OFFSET('384 Well qPCR Layout'!A$14, 0, Sheet3!B25))</f>
        <v/>
      </c>
      <c r="D279" s="22"/>
      <c r="E279" s="22"/>
      <c r="F279" s="57" t="s">
        <v>252</v>
      </c>
      <c r="O279" s="5"/>
    </row>
    <row r="280" spans="1:15" x14ac:dyDescent="0.2">
      <c r="A280" s="2" t="str">
        <f t="shared" si="7"/>
        <v>L</v>
      </c>
      <c r="B280" s="2">
        <f t="shared" si="8"/>
        <v>7</v>
      </c>
      <c r="C280" s="2" t="str">
        <f ca="1">IF((OFFSET('384 Well qPCR Layout'!A$14, 0, Sheet3!B26))="", "",  OFFSET('384 Well qPCR Layout'!A$14, 0, Sheet3!B26))</f>
        <v/>
      </c>
      <c r="D280" s="22"/>
      <c r="E280" s="22"/>
      <c r="F280" s="57" t="s">
        <v>252</v>
      </c>
    </row>
    <row r="281" spans="1:15" x14ac:dyDescent="0.2">
      <c r="A281" s="2" t="str">
        <f t="shared" si="7"/>
        <v>L</v>
      </c>
      <c r="B281" s="2">
        <f t="shared" si="8"/>
        <v>8</v>
      </c>
      <c r="C281" s="2" t="str">
        <f ca="1">IF((OFFSET('384 Well qPCR Layout'!A$14, 0, Sheet3!B27))="", "",  OFFSET('384 Well qPCR Layout'!A$14, 0, Sheet3!B27))</f>
        <v/>
      </c>
      <c r="D281" s="22"/>
      <c r="E281" s="22"/>
      <c r="F281" s="57" t="s">
        <v>252</v>
      </c>
    </row>
    <row r="282" spans="1:15" x14ac:dyDescent="0.2">
      <c r="A282" s="2" t="str">
        <f t="shared" si="7"/>
        <v>L</v>
      </c>
      <c r="B282" s="2">
        <f t="shared" si="8"/>
        <v>9</v>
      </c>
      <c r="C282" s="2" t="str">
        <f ca="1">IF((OFFSET('384 Well qPCR Layout'!A$14, 0, Sheet3!B28))="", "",  OFFSET('384 Well qPCR Layout'!A$14, 0, Sheet3!B28))</f>
        <v/>
      </c>
      <c r="D282" s="22"/>
      <c r="E282" s="22"/>
      <c r="F282" s="57" t="s">
        <v>252</v>
      </c>
      <c r="O282" s="5"/>
    </row>
    <row r="283" spans="1:15" x14ac:dyDescent="0.2">
      <c r="A283" s="2" t="str">
        <f t="shared" si="7"/>
        <v>L</v>
      </c>
      <c r="B283" s="2">
        <f t="shared" si="8"/>
        <v>10</v>
      </c>
      <c r="C283" s="2" t="str">
        <f ca="1">IF((OFFSET('384 Well qPCR Layout'!A$14, 0, Sheet3!B29))="", "",  OFFSET('384 Well qPCR Layout'!A$14, 0, Sheet3!B29))</f>
        <v/>
      </c>
      <c r="D283" s="22"/>
      <c r="E283" s="22"/>
      <c r="F283" s="57" t="s">
        <v>252</v>
      </c>
      <c r="O283" s="5"/>
    </row>
    <row r="284" spans="1:15" x14ac:dyDescent="0.2">
      <c r="A284" s="2" t="str">
        <f t="shared" si="7"/>
        <v>L</v>
      </c>
      <c r="B284" s="2">
        <f t="shared" si="8"/>
        <v>11</v>
      </c>
      <c r="C284" s="2" t="str">
        <f ca="1">IF((OFFSET('384 Well qPCR Layout'!A$14, 0, Sheet3!B30))="", "",  OFFSET('384 Well qPCR Layout'!A$14, 0, Sheet3!B30))</f>
        <v/>
      </c>
      <c r="D284" s="22"/>
      <c r="E284" s="22"/>
      <c r="F284" s="57">
        <v>9.9230003356933594</v>
      </c>
      <c r="O284" s="5"/>
    </row>
    <row r="285" spans="1:15" x14ac:dyDescent="0.2">
      <c r="A285" s="2" t="str">
        <f t="shared" si="7"/>
        <v>L</v>
      </c>
      <c r="B285" s="2">
        <f t="shared" si="8"/>
        <v>12</v>
      </c>
      <c r="C285" s="2" t="str">
        <f ca="1">IF((OFFSET('384 Well qPCR Layout'!A$14, 0, Sheet3!B31))="", "",  OFFSET('384 Well qPCR Layout'!A$14, 0, Sheet3!B31))</f>
        <v/>
      </c>
      <c r="D285" s="22"/>
      <c r="E285" s="22"/>
      <c r="F285" s="57">
        <v>10.585000038146973</v>
      </c>
      <c r="O285" s="5"/>
    </row>
    <row r="286" spans="1:15" x14ac:dyDescent="0.2">
      <c r="A286" s="2" t="str">
        <f t="shared" si="7"/>
        <v>L</v>
      </c>
      <c r="B286" s="2">
        <f t="shared" si="8"/>
        <v>13</v>
      </c>
      <c r="C286" s="2" t="str">
        <f ca="1">IF((OFFSET('384 Well qPCR Layout'!A$14, 0, Sheet3!B32))="", "",  OFFSET('384 Well qPCR Layout'!A$14, 0, Sheet3!B32))</f>
        <v/>
      </c>
      <c r="D286" s="22"/>
      <c r="E286" s="22"/>
      <c r="F286" s="57">
        <v>11.39799976348877</v>
      </c>
      <c r="O286" s="5"/>
    </row>
    <row r="287" spans="1:15" x14ac:dyDescent="0.2">
      <c r="A287" s="2" t="str">
        <f t="shared" si="7"/>
        <v>L</v>
      </c>
      <c r="B287" s="2">
        <f t="shared" si="8"/>
        <v>14</v>
      </c>
      <c r="C287" s="2" t="str">
        <f ca="1">IF((OFFSET('384 Well qPCR Layout'!A$14, 0, Sheet3!B33))="", "",  OFFSET('384 Well qPCR Layout'!A$14, 0, Sheet3!B33))</f>
        <v/>
      </c>
      <c r="D287" s="22"/>
      <c r="E287" s="22"/>
      <c r="F287" s="57" t="s">
        <v>252</v>
      </c>
      <c r="O287" s="5"/>
    </row>
    <row r="288" spans="1:15" x14ac:dyDescent="0.2">
      <c r="A288" s="2" t="str">
        <f t="shared" si="7"/>
        <v>L</v>
      </c>
      <c r="B288" s="2">
        <f t="shared" si="8"/>
        <v>15</v>
      </c>
      <c r="C288" s="2" t="str">
        <f ca="1">IF((OFFSET('384 Well qPCR Layout'!A$14, 0, Sheet3!B34))="", "",  OFFSET('384 Well qPCR Layout'!A$14, 0, Sheet3!B34))</f>
        <v/>
      </c>
      <c r="D288" s="22"/>
      <c r="E288" s="22"/>
      <c r="F288" s="57" t="s">
        <v>252</v>
      </c>
      <c r="O288" s="5"/>
    </row>
    <row r="289" spans="1:15" x14ac:dyDescent="0.2">
      <c r="A289" s="2" t="str">
        <f t="shared" si="7"/>
        <v>L</v>
      </c>
      <c r="B289" s="2">
        <f t="shared" si="8"/>
        <v>16</v>
      </c>
      <c r="C289" s="2" t="str">
        <f ca="1">IF((OFFSET('384 Well qPCR Layout'!A$14, 0, Sheet3!B35))="", "",  OFFSET('384 Well qPCR Layout'!A$14, 0, Sheet3!B35))</f>
        <v/>
      </c>
      <c r="D289" s="22"/>
      <c r="E289" s="22"/>
      <c r="F289" s="57" t="s">
        <v>252</v>
      </c>
      <c r="O289" s="5"/>
    </row>
    <row r="290" spans="1:15" x14ac:dyDescent="0.2">
      <c r="A290" s="2" t="str">
        <f t="shared" si="7"/>
        <v>L</v>
      </c>
      <c r="B290" s="2">
        <f t="shared" si="8"/>
        <v>17</v>
      </c>
      <c r="C290" s="2" t="str">
        <f ca="1">IF((OFFSET('384 Well qPCR Layout'!A$14, 0, Sheet3!B36))="", "",  OFFSET('384 Well qPCR Layout'!A$14, 0, Sheet3!B36))</f>
        <v/>
      </c>
      <c r="D290" s="22"/>
      <c r="E290" s="22"/>
      <c r="F290" s="57" t="s">
        <v>252</v>
      </c>
      <c r="O290" s="5"/>
    </row>
    <row r="291" spans="1:15" x14ac:dyDescent="0.2">
      <c r="A291" s="2" t="str">
        <f t="shared" ref="A291:A354" si="9">CHAR(CODE(A267)+1)</f>
        <v>L</v>
      </c>
      <c r="B291" s="2">
        <f t="shared" ref="B291:B354" si="10">B267</f>
        <v>18</v>
      </c>
      <c r="C291" s="2" t="str">
        <f ca="1">IF((OFFSET('384 Well qPCR Layout'!A$14, 0, Sheet3!B37))="", "",  OFFSET('384 Well qPCR Layout'!A$14, 0, Sheet3!B37))</f>
        <v/>
      </c>
      <c r="D291" s="22"/>
      <c r="E291" s="22"/>
      <c r="F291" s="57">
        <v>21.26099967956543</v>
      </c>
    </row>
    <row r="292" spans="1:15" x14ac:dyDescent="0.2">
      <c r="A292" s="2" t="str">
        <f t="shared" si="9"/>
        <v>L</v>
      </c>
      <c r="B292" s="2">
        <f t="shared" si="10"/>
        <v>19</v>
      </c>
      <c r="C292" s="2" t="str">
        <f ca="1">IF((OFFSET('384 Well qPCR Layout'!A$14, 0, Sheet3!B38))="", "",  OFFSET('384 Well qPCR Layout'!A$14, 0, Sheet3!B38))</f>
        <v/>
      </c>
      <c r="D292" s="22"/>
      <c r="E292" s="22"/>
      <c r="F292" s="57">
        <v>6.8060002326965332</v>
      </c>
    </row>
    <row r="293" spans="1:15" x14ac:dyDescent="0.2">
      <c r="A293" s="2" t="str">
        <f t="shared" si="9"/>
        <v>L</v>
      </c>
      <c r="B293" s="2">
        <f t="shared" si="10"/>
        <v>20</v>
      </c>
      <c r="C293" s="2" t="str">
        <f ca="1">IF((OFFSET('384 Well qPCR Layout'!A$14, 0, Sheet3!B39))="", "",  OFFSET('384 Well qPCR Layout'!A$14, 0, Sheet3!B39))</f>
        <v/>
      </c>
      <c r="D293" s="22"/>
      <c r="E293" s="22"/>
      <c r="F293" s="57">
        <v>14.314000129699707</v>
      </c>
    </row>
    <row r="294" spans="1:15" x14ac:dyDescent="0.2">
      <c r="A294" s="2" t="str">
        <f t="shared" si="9"/>
        <v>L</v>
      </c>
      <c r="B294" s="2">
        <f t="shared" si="10"/>
        <v>21</v>
      </c>
      <c r="C294" s="2" t="str">
        <f ca="1">IF((OFFSET('384 Well qPCR Layout'!A$14, 0, Sheet3!B40))="", "",  OFFSET('384 Well qPCR Layout'!A$14, 0, Sheet3!B40))</f>
        <v/>
      </c>
      <c r="D294" s="22"/>
      <c r="E294" s="22"/>
      <c r="F294" s="57" t="s">
        <v>252</v>
      </c>
    </row>
    <row r="295" spans="1:15" x14ac:dyDescent="0.2">
      <c r="A295" s="2" t="str">
        <f t="shared" si="9"/>
        <v>L</v>
      </c>
      <c r="B295" s="2">
        <f t="shared" si="10"/>
        <v>22</v>
      </c>
      <c r="C295" s="2" t="str">
        <f ca="1">IF((OFFSET('384 Well qPCR Layout'!A$14, 0, Sheet3!B41))="", "",  OFFSET('384 Well qPCR Layout'!A$14, 0, Sheet3!B41))</f>
        <v>NTC</v>
      </c>
      <c r="D295" s="22"/>
      <c r="E295" s="22"/>
      <c r="F295" s="57">
        <v>26.072999954223633</v>
      </c>
    </row>
    <row r="296" spans="1:15" x14ac:dyDescent="0.2">
      <c r="A296" s="2" t="str">
        <f t="shared" si="9"/>
        <v>L</v>
      </c>
      <c r="B296" s="2">
        <f t="shared" si="10"/>
        <v>23</v>
      </c>
      <c r="C296" s="2" t="str">
        <f ca="1">IF((OFFSET('384 Well qPCR Layout'!A$14, 0, Sheet3!B42))="", "",  OFFSET('384 Well qPCR Layout'!A$14, 0, Sheet3!B42))</f>
        <v/>
      </c>
      <c r="D296" s="22"/>
      <c r="E296" s="22"/>
      <c r="F296" s="57">
        <v>10.175000190734863</v>
      </c>
    </row>
    <row r="297" spans="1:15" x14ac:dyDescent="0.2">
      <c r="A297" s="2" t="str">
        <f t="shared" si="9"/>
        <v>L</v>
      </c>
      <c r="B297" s="2">
        <f t="shared" si="10"/>
        <v>24</v>
      </c>
      <c r="C297" s="2" t="str">
        <f ca="1">IF((OFFSET('384 Well qPCR Layout'!A$14, 0, Sheet3!B43))="", "",  OFFSET('384 Well qPCR Layout'!A$14, 0, Sheet3!B43))</f>
        <v>Standard 2</v>
      </c>
      <c r="D297" s="22"/>
      <c r="E297" s="22"/>
      <c r="F297" s="57">
        <v>12.642999649047852</v>
      </c>
    </row>
    <row r="298" spans="1:15" x14ac:dyDescent="0.2">
      <c r="A298" s="2" t="str">
        <f t="shared" si="9"/>
        <v>M</v>
      </c>
      <c r="B298" s="2">
        <f t="shared" si="10"/>
        <v>1</v>
      </c>
      <c r="C298" s="2" t="str">
        <f ca="1">IF((OFFSET('384 Well qPCR Layout'!A$15, 0, Sheet3!B20))="", "",  OFFSET('384 Well qPCR Layout'!A$15, 0, Sheet3!B20))</f>
        <v>2AP11 (1:1000)</v>
      </c>
      <c r="D298" s="22"/>
      <c r="E298" s="22"/>
      <c r="F298" s="57">
        <v>7.630000114440918</v>
      </c>
      <c r="O298" s="5"/>
    </row>
    <row r="299" spans="1:15" x14ac:dyDescent="0.2">
      <c r="A299" s="2" t="str">
        <f t="shared" si="9"/>
        <v>M</v>
      </c>
      <c r="B299" s="2">
        <f t="shared" si="10"/>
        <v>2</v>
      </c>
      <c r="C299" s="2" t="str">
        <f ca="1">IF((OFFSET('384 Well qPCR Layout'!A$15, 0, Sheet3!B21))="", "",  OFFSET('384 Well qPCR Layout'!A$15, 0, Sheet3!B21))</f>
        <v/>
      </c>
      <c r="D299" s="22"/>
      <c r="E299" s="22"/>
      <c r="F299" s="57" t="s">
        <v>252</v>
      </c>
      <c r="O299" s="5"/>
    </row>
    <row r="300" spans="1:15" x14ac:dyDescent="0.2">
      <c r="A300" s="2" t="str">
        <f t="shared" si="9"/>
        <v>M</v>
      </c>
      <c r="B300" s="2">
        <f t="shared" si="10"/>
        <v>3</v>
      </c>
      <c r="C300" s="2" t="str">
        <f ca="1">IF((OFFSET('384 Well qPCR Layout'!A$15, 0, Sheet3!B22))="", "",  OFFSET('384 Well qPCR Layout'!A$15, 0, Sheet3!B22))</f>
        <v>2AP19 (1:1000)</v>
      </c>
      <c r="D300" s="22"/>
      <c r="E300" s="22"/>
      <c r="F300" s="56">
        <v>8.2290000915527344</v>
      </c>
      <c r="O300" s="5"/>
    </row>
    <row r="301" spans="1:15" x14ac:dyDescent="0.2">
      <c r="A301" s="2" t="str">
        <f t="shared" si="9"/>
        <v>M</v>
      </c>
      <c r="B301" s="2">
        <f t="shared" si="10"/>
        <v>4</v>
      </c>
      <c r="C301" s="2" t="str">
        <f ca="1">IF((OFFSET('384 Well qPCR Layout'!A$15, 0, Sheet3!B23))="", "",  OFFSET('384 Well qPCR Layout'!A$15, 0, Sheet3!B23))</f>
        <v/>
      </c>
      <c r="D301" s="22"/>
      <c r="E301" s="22"/>
      <c r="F301" s="57" t="s">
        <v>252</v>
      </c>
      <c r="O301" s="5"/>
    </row>
    <row r="302" spans="1:15" x14ac:dyDescent="0.2">
      <c r="A302" s="2" t="str">
        <f t="shared" si="9"/>
        <v>M</v>
      </c>
      <c r="B302" s="2">
        <f t="shared" si="10"/>
        <v>5</v>
      </c>
      <c r="C302" s="2" t="str">
        <f ca="1">IF((OFFSET('384 Well qPCR Layout'!A$15, 0, Sheet3!B24))="", "",  OFFSET('384 Well qPCR Layout'!A$15, 0, Sheet3!B24))</f>
        <v>2AP27 (1:1000)</v>
      </c>
      <c r="D302" s="22"/>
      <c r="E302" s="22"/>
      <c r="F302" s="56">
        <v>7.2420001029968262</v>
      </c>
      <c r="O302" s="5"/>
    </row>
    <row r="303" spans="1:15" x14ac:dyDescent="0.2">
      <c r="A303" s="2" t="str">
        <f t="shared" si="9"/>
        <v>M</v>
      </c>
      <c r="B303" s="2">
        <f t="shared" si="10"/>
        <v>6</v>
      </c>
      <c r="C303" s="2" t="str">
        <f ca="1">IF((OFFSET('384 Well qPCR Layout'!A$15, 0, Sheet3!B25))="", "",  OFFSET('384 Well qPCR Layout'!A$15, 0, Sheet3!B25))</f>
        <v/>
      </c>
      <c r="D303" s="22"/>
      <c r="E303" s="22"/>
      <c r="F303" s="56">
        <v>10.835000038146973</v>
      </c>
      <c r="O303" s="5"/>
    </row>
    <row r="304" spans="1:15" x14ac:dyDescent="0.2">
      <c r="A304" s="2" t="str">
        <f t="shared" si="9"/>
        <v>M</v>
      </c>
      <c r="B304" s="2">
        <f t="shared" si="10"/>
        <v>7</v>
      </c>
      <c r="C304" s="2" t="str">
        <f ca="1">IF((OFFSET('384 Well qPCR Layout'!A$15, 0, Sheet3!B26))="", "",  OFFSET('384 Well qPCR Layout'!A$15, 0, Sheet3!B26))</f>
        <v>L0P9 (1:1000)</v>
      </c>
      <c r="D304" s="22"/>
      <c r="E304" s="22"/>
      <c r="F304" s="57">
        <v>7.935999870300293</v>
      </c>
      <c r="O304" s="5"/>
    </row>
    <row r="305" spans="1:15" x14ac:dyDescent="0.2">
      <c r="A305" s="2" t="str">
        <f t="shared" si="9"/>
        <v>M</v>
      </c>
      <c r="B305" s="2">
        <f t="shared" si="10"/>
        <v>8</v>
      </c>
      <c r="C305" s="2" t="str">
        <f ca="1">IF((OFFSET('384 Well qPCR Layout'!A$15, 0, Sheet3!B27))="", "",  OFFSET('384 Well qPCR Layout'!A$15, 0, Sheet3!B27))</f>
        <v/>
      </c>
      <c r="D305" s="22"/>
      <c r="E305" s="22"/>
      <c r="F305" s="57">
        <v>9.7729997634887695</v>
      </c>
      <c r="O305" s="5"/>
    </row>
    <row r="306" spans="1:15" x14ac:dyDescent="0.2">
      <c r="A306" s="2" t="str">
        <f t="shared" si="9"/>
        <v>M</v>
      </c>
      <c r="B306" s="2">
        <f t="shared" si="10"/>
        <v>9</v>
      </c>
      <c r="C306" s="2" t="str">
        <f ca="1">IF((OFFSET('384 Well qPCR Layout'!A$15, 0, Sheet3!B28))="", "",  OFFSET('384 Well qPCR Layout'!A$15, 0, Sheet3!B28))</f>
        <v>L0P17 (1:1000)</v>
      </c>
      <c r="D306" s="22"/>
      <c r="E306" s="22"/>
      <c r="F306" s="57">
        <v>7.9289999008178711</v>
      </c>
    </row>
    <row r="307" spans="1:15" x14ac:dyDescent="0.2">
      <c r="A307" s="2" t="str">
        <f t="shared" si="9"/>
        <v>M</v>
      </c>
      <c r="B307" s="2">
        <f t="shared" si="10"/>
        <v>10</v>
      </c>
      <c r="C307" s="2" t="str">
        <f ca="1">IF((OFFSET('384 Well qPCR Layout'!A$15, 0, Sheet3!B29))="", "",  OFFSET('384 Well qPCR Layout'!A$15, 0, Sheet3!B29))</f>
        <v/>
      </c>
      <c r="D307" s="22"/>
      <c r="E307" s="22"/>
      <c r="F307" s="56" t="s">
        <v>252</v>
      </c>
      <c r="O307" s="5"/>
    </row>
    <row r="308" spans="1:15" x14ac:dyDescent="0.2">
      <c r="A308" s="2" t="str">
        <f t="shared" si="9"/>
        <v>M</v>
      </c>
      <c r="B308" s="2">
        <f t="shared" si="10"/>
        <v>11</v>
      </c>
      <c r="C308" s="2" t="str">
        <f ca="1">IF((OFFSET('384 Well qPCR Layout'!A$15, 0, Sheet3!B30))="", "",  OFFSET('384 Well qPCR Layout'!A$15, 0, Sheet3!B30))</f>
        <v>L0P25 (1:1000)</v>
      </c>
      <c r="D308" s="22"/>
      <c r="E308" s="22"/>
      <c r="F308" s="56">
        <v>7.2779998779296875</v>
      </c>
      <c r="O308" s="5"/>
    </row>
    <row r="309" spans="1:15" x14ac:dyDescent="0.2">
      <c r="A309" s="2" t="str">
        <f t="shared" si="9"/>
        <v>M</v>
      </c>
      <c r="B309" s="2">
        <f t="shared" si="10"/>
        <v>12</v>
      </c>
      <c r="C309" s="2" t="str">
        <f ca="1">IF((OFFSET('384 Well qPCR Layout'!A$15, 0, Sheet3!B31))="", "",  OFFSET('384 Well qPCR Layout'!A$15, 0, Sheet3!B31))</f>
        <v/>
      </c>
      <c r="D309" s="22"/>
      <c r="E309" s="22"/>
      <c r="F309" s="57" t="s">
        <v>252</v>
      </c>
      <c r="O309" s="5"/>
    </row>
    <row r="310" spans="1:15" x14ac:dyDescent="0.2">
      <c r="A310" s="2" t="str">
        <f t="shared" si="9"/>
        <v>M</v>
      </c>
      <c r="B310" s="2">
        <f t="shared" si="10"/>
        <v>13</v>
      </c>
      <c r="C310" s="2" t="str">
        <f ca="1">IF((OFFSET('384 Well qPCR Layout'!A$15, 0, Sheet3!B32))="", "",  OFFSET('384 Well qPCR Layout'!A$15, 0, Sheet3!B32))</f>
        <v/>
      </c>
      <c r="D310" s="22"/>
      <c r="E310" s="22"/>
      <c r="F310" s="57">
        <v>8.625</v>
      </c>
      <c r="O310" s="5"/>
    </row>
    <row r="311" spans="1:15" x14ac:dyDescent="0.2">
      <c r="A311" s="2" t="str">
        <f t="shared" si="9"/>
        <v>M</v>
      </c>
      <c r="B311" s="2">
        <f t="shared" si="10"/>
        <v>14</v>
      </c>
      <c r="C311" s="2" t="str">
        <f ca="1">IF((OFFSET('384 Well qPCR Layout'!A$15, 0, Sheet3!B33))="", "",  OFFSET('384 Well qPCR Layout'!A$15, 0, Sheet3!B33))</f>
        <v/>
      </c>
      <c r="D311" s="22"/>
      <c r="E311" s="22"/>
      <c r="F311" s="56" t="s">
        <v>252</v>
      </c>
      <c r="O311" s="5"/>
    </row>
    <row r="312" spans="1:15" x14ac:dyDescent="0.2">
      <c r="A312" s="2" t="str">
        <f t="shared" si="9"/>
        <v>M</v>
      </c>
      <c r="B312" s="2">
        <f t="shared" si="10"/>
        <v>15</v>
      </c>
      <c r="C312" s="2" t="str">
        <f ca="1">IF((OFFSET('384 Well qPCR Layout'!A$15, 0, Sheet3!B34))="", "",  OFFSET('384 Well qPCR Layout'!A$15, 0, Sheet3!B34))</f>
        <v>BarLP11C (1:1000)</v>
      </c>
      <c r="D312" s="22"/>
      <c r="E312" s="22"/>
      <c r="F312" s="57">
        <v>7.869999885559082</v>
      </c>
      <c r="O312" s="5"/>
    </row>
    <row r="313" spans="1:15" x14ac:dyDescent="0.2">
      <c r="A313" s="2" t="str">
        <f t="shared" si="9"/>
        <v>M</v>
      </c>
      <c r="B313" s="2">
        <f t="shared" si="10"/>
        <v>16</v>
      </c>
      <c r="C313" s="2" t="str">
        <f ca="1">IF((OFFSET('384 Well qPCR Layout'!A$15, 0, Sheet3!B35))="", "",  OFFSET('384 Well qPCR Layout'!A$15, 0, Sheet3!B35))</f>
        <v/>
      </c>
      <c r="D313" s="22"/>
      <c r="E313" s="22"/>
      <c r="F313" s="57" t="s">
        <v>252</v>
      </c>
      <c r="O313" s="5"/>
    </row>
    <row r="314" spans="1:15" x14ac:dyDescent="0.2">
      <c r="A314" s="2" t="str">
        <f t="shared" si="9"/>
        <v>M</v>
      </c>
      <c r="B314" s="2">
        <f t="shared" si="10"/>
        <v>17</v>
      </c>
      <c r="C314" s="2" t="str">
        <f ca="1">IF((OFFSET('384 Well qPCR Layout'!A$15, 0, Sheet3!B36))="", "",  OFFSET('384 Well qPCR Layout'!A$15, 0, Sheet3!B36))</f>
        <v>BarLP5H (1:1000)</v>
      </c>
      <c r="D314" s="22"/>
      <c r="E314" s="22"/>
      <c r="F314" s="56">
        <v>10.305000305175781</v>
      </c>
      <c r="O314" s="5"/>
    </row>
    <row r="315" spans="1:15" x14ac:dyDescent="0.2">
      <c r="A315" s="2" t="str">
        <f t="shared" si="9"/>
        <v>M</v>
      </c>
      <c r="B315" s="2">
        <f t="shared" si="10"/>
        <v>18</v>
      </c>
      <c r="C315" s="2" t="str">
        <f ca="1">IF((OFFSET('384 Well qPCR Layout'!A$15, 0, Sheet3!B37))="", "",  OFFSET('384 Well qPCR Layout'!A$15, 0, Sheet3!B37))</f>
        <v/>
      </c>
      <c r="D315" s="22"/>
      <c r="E315" s="22"/>
      <c r="F315" s="57" t="s">
        <v>252</v>
      </c>
      <c r="O315" s="5"/>
    </row>
    <row r="316" spans="1:15" x14ac:dyDescent="0.2">
      <c r="A316" s="2" t="str">
        <f t="shared" si="9"/>
        <v>M</v>
      </c>
      <c r="B316" s="2">
        <f t="shared" si="10"/>
        <v>19</v>
      </c>
      <c r="C316" s="2" t="str">
        <f ca="1">IF((OFFSET('384 Well qPCR Layout'!A$15, 0, Sheet3!B38))="", "",  OFFSET('384 Well qPCR Layout'!A$15, 0, Sheet3!B38))</f>
        <v>BarLP13H (1:1000)</v>
      </c>
      <c r="D316" s="22"/>
      <c r="E316" s="22"/>
      <c r="F316" s="57">
        <v>7.3350000381469727</v>
      </c>
    </row>
    <row r="317" spans="1:15" x14ac:dyDescent="0.2">
      <c r="A317" s="2" t="str">
        <f t="shared" si="9"/>
        <v>M</v>
      </c>
      <c r="B317" s="2">
        <f t="shared" si="10"/>
        <v>20</v>
      </c>
      <c r="C317" s="2" t="str">
        <f ca="1">IF((OFFSET('384 Well qPCR Layout'!A$15, 0, Sheet3!B39))="", "",  OFFSET('384 Well qPCR Layout'!A$15, 0, Sheet3!B39))</f>
        <v/>
      </c>
      <c r="D317" s="22"/>
      <c r="E317" s="22"/>
      <c r="F317" s="57" t="s">
        <v>252</v>
      </c>
    </row>
    <row r="318" spans="1:15" x14ac:dyDescent="0.2">
      <c r="A318" s="2" t="str">
        <f t="shared" si="9"/>
        <v>M</v>
      </c>
      <c r="B318" s="2">
        <f t="shared" si="10"/>
        <v>21</v>
      </c>
      <c r="C318" s="2" t="str">
        <f ca="1">IF((OFFSET('384 Well qPCR Layout'!A$15, 0, Sheet3!B40))="", "",  OFFSET('384 Well qPCR Layout'!A$15, 0, Sheet3!B40))</f>
        <v/>
      </c>
      <c r="D318" s="22"/>
      <c r="E318" s="22"/>
      <c r="F318" s="57" t="s">
        <v>252</v>
      </c>
      <c r="O318" s="5"/>
    </row>
    <row r="319" spans="1:15" x14ac:dyDescent="0.2">
      <c r="A319" s="2" t="str">
        <f t="shared" si="9"/>
        <v>M</v>
      </c>
      <c r="B319" s="2">
        <f t="shared" si="10"/>
        <v>22</v>
      </c>
      <c r="C319" s="2" t="str">
        <f ca="1">IF((OFFSET('384 Well qPCR Layout'!A$15, 0, Sheet3!B41))="", "",  OFFSET('384 Well qPCR Layout'!A$15, 0, Sheet3!B41))</f>
        <v/>
      </c>
      <c r="D319" s="22"/>
      <c r="E319" s="22"/>
      <c r="F319" s="57" t="s">
        <v>252</v>
      </c>
    </row>
    <row r="320" spans="1:15" x14ac:dyDescent="0.2">
      <c r="A320" s="2" t="str">
        <f t="shared" si="9"/>
        <v>M</v>
      </c>
      <c r="B320" s="2">
        <f t="shared" si="10"/>
        <v>23</v>
      </c>
      <c r="C320" s="2" t="str">
        <f ca="1">IF((OFFSET('384 Well qPCR Layout'!A$15, 0, Sheet3!B42))="", "",  OFFSET('384 Well qPCR Layout'!A$15, 0, Sheet3!B42))</f>
        <v/>
      </c>
      <c r="D320" s="22"/>
      <c r="E320" s="22"/>
      <c r="F320" s="56">
        <v>13.319000244140625</v>
      </c>
      <c r="O320" s="5"/>
    </row>
    <row r="321" spans="1:15" x14ac:dyDescent="0.2">
      <c r="A321" s="2" t="str">
        <f t="shared" si="9"/>
        <v>M</v>
      </c>
      <c r="B321" s="2">
        <f t="shared" si="10"/>
        <v>24</v>
      </c>
      <c r="C321" s="2" t="str">
        <f ca="1">IF((OFFSET('384 Well qPCR Layout'!A$15, 0, Sheet3!B43))="", "",  OFFSET('384 Well qPCR Layout'!A$15, 0, Sheet3!B43))</f>
        <v/>
      </c>
      <c r="D321" s="22"/>
      <c r="E321" s="22"/>
      <c r="F321" s="57">
        <v>16.402000427246094</v>
      </c>
      <c r="O321" s="5"/>
    </row>
    <row r="322" spans="1:15" x14ac:dyDescent="0.2">
      <c r="A322" s="2" t="str">
        <f t="shared" si="9"/>
        <v>N</v>
      </c>
      <c r="B322" s="2">
        <f t="shared" si="10"/>
        <v>1</v>
      </c>
      <c r="C322" s="2" t="str">
        <f ca="1">IF((OFFSET('384 Well qPCR Layout'!A$16, 0, Sheet3!B20))="", "",  OFFSET('384 Well qPCR Layout'!A$16, 0, Sheet3!B20))</f>
        <v/>
      </c>
      <c r="D322" s="22"/>
      <c r="E322" s="22"/>
      <c r="F322" s="57" t="s">
        <v>252</v>
      </c>
      <c r="O322" s="5"/>
    </row>
    <row r="323" spans="1:15" x14ac:dyDescent="0.2">
      <c r="A323" s="2" t="str">
        <f t="shared" si="9"/>
        <v>N</v>
      </c>
      <c r="B323" s="2">
        <f t="shared" si="10"/>
        <v>2</v>
      </c>
      <c r="C323" s="2" t="str">
        <f ca="1">IF((OFFSET('384 Well qPCR Layout'!A$16, 0, Sheet3!B21))="", "",  OFFSET('384 Well qPCR Layout'!A$16, 0, Sheet3!B21))</f>
        <v/>
      </c>
      <c r="D323" s="22"/>
      <c r="E323" s="22"/>
      <c r="F323" s="57" t="s">
        <v>252</v>
      </c>
      <c r="O323" s="5"/>
    </row>
    <row r="324" spans="1:15" x14ac:dyDescent="0.2">
      <c r="A324" s="2" t="str">
        <f t="shared" si="9"/>
        <v>N</v>
      </c>
      <c r="B324" s="2">
        <f t="shared" si="10"/>
        <v>3</v>
      </c>
      <c r="C324" s="2" t="str">
        <f ca="1">IF((OFFSET('384 Well qPCR Layout'!A$16, 0, Sheet3!B22))="", "",  OFFSET('384 Well qPCR Layout'!A$16, 0, Sheet3!B22))</f>
        <v/>
      </c>
      <c r="D324" s="22"/>
      <c r="E324" s="22"/>
      <c r="F324" s="57" t="s">
        <v>252</v>
      </c>
      <c r="O324" s="5"/>
    </row>
    <row r="325" spans="1:15" x14ac:dyDescent="0.2">
      <c r="A325" s="2" t="str">
        <f t="shared" si="9"/>
        <v>N</v>
      </c>
      <c r="B325" s="2">
        <f t="shared" si="10"/>
        <v>4</v>
      </c>
      <c r="C325" s="2" t="str">
        <f ca="1">IF((OFFSET('384 Well qPCR Layout'!A$16, 0, Sheet3!B23))="", "",  OFFSET('384 Well qPCR Layout'!A$16, 0, Sheet3!B23))</f>
        <v/>
      </c>
      <c r="D325" s="22"/>
      <c r="E325" s="22"/>
      <c r="F325" s="57" t="s">
        <v>252</v>
      </c>
      <c r="O325" s="5"/>
    </row>
    <row r="326" spans="1:15" x14ac:dyDescent="0.2">
      <c r="A326" s="2" t="str">
        <f t="shared" si="9"/>
        <v>N</v>
      </c>
      <c r="B326" s="2">
        <f t="shared" si="10"/>
        <v>5</v>
      </c>
      <c r="C326" s="2" t="str">
        <f ca="1">IF((OFFSET('384 Well qPCR Layout'!A$16, 0, Sheet3!B24))="", "",  OFFSET('384 Well qPCR Layout'!A$16, 0, Sheet3!B24))</f>
        <v/>
      </c>
      <c r="D326" s="22"/>
      <c r="E326" s="22"/>
      <c r="F326" s="57" t="s">
        <v>252</v>
      </c>
      <c r="O326" s="5"/>
    </row>
    <row r="327" spans="1:15" x14ac:dyDescent="0.2">
      <c r="A327" s="2" t="str">
        <f t="shared" si="9"/>
        <v>N</v>
      </c>
      <c r="B327" s="2">
        <f t="shared" si="10"/>
        <v>6</v>
      </c>
      <c r="C327" s="2" t="str">
        <f ca="1">IF((OFFSET('384 Well qPCR Layout'!A$16, 0, Sheet3!B25))="", "",  OFFSET('384 Well qPCR Layout'!A$16, 0, Sheet3!B25))</f>
        <v/>
      </c>
      <c r="D327" s="22"/>
      <c r="E327" s="22"/>
      <c r="F327" s="57" t="s">
        <v>252</v>
      </c>
      <c r="O327" s="5"/>
    </row>
    <row r="328" spans="1:15" x14ac:dyDescent="0.2">
      <c r="A328" s="2" t="str">
        <f t="shared" si="9"/>
        <v>N</v>
      </c>
      <c r="B328" s="2">
        <f t="shared" si="10"/>
        <v>7</v>
      </c>
      <c r="C328" s="2" t="str">
        <f ca="1">IF((OFFSET('384 Well qPCR Layout'!A$16, 0, Sheet3!B26))="", "",  OFFSET('384 Well qPCR Layout'!A$16, 0, Sheet3!B26))</f>
        <v/>
      </c>
      <c r="D328" s="22"/>
      <c r="E328" s="22"/>
      <c r="F328" s="57" t="s">
        <v>252</v>
      </c>
    </row>
    <row r="329" spans="1:15" x14ac:dyDescent="0.2">
      <c r="A329" s="2" t="str">
        <f t="shared" si="9"/>
        <v>N</v>
      </c>
      <c r="B329" s="2">
        <f t="shared" si="10"/>
        <v>8</v>
      </c>
      <c r="C329" s="2" t="str">
        <f ca="1">IF((OFFSET('384 Well qPCR Layout'!A$16, 0, Sheet3!B27))="", "",  OFFSET('384 Well qPCR Layout'!A$16, 0, Sheet3!B27))</f>
        <v/>
      </c>
      <c r="D329" s="22"/>
      <c r="E329" s="22"/>
      <c r="F329" s="57" t="s">
        <v>252</v>
      </c>
      <c r="O329" s="5"/>
    </row>
    <row r="330" spans="1:15" x14ac:dyDescent="0.2">
      <c r="A330" s="2" t="str">
        <f t="shared" si="9"/>
        <v>N</v>
      </c>
      <c r="B330" s="2">
        <f t="shared" si="10"/>
        <v>9</v>
      </c>
      <c r="C330" s="2" t="str">
        <f ca="1">IF((OFFSET('384 Well qPCR Layout'!A$16, 0, Sheet3!B28))="", "",  OFFSET('384 Well qPCR Layout'!A$16, 0, Sheet3!B28))</f>
        <v/>
      </c>
      <c r="D330" s="22"/>
      <c r="E330" s="22"/>
      <c r="F330" s="57" t="s">
        <v>252</v>
      </c>
    </row>
    <row r="331" spans="1:15" x14ac:dyDescent="0.2">
      <c r="A331" s="2" t="str">
        <f t="shared" si="9"/>
        <v>N</v>
      </c>
      <c r="B331" s="2">
        <f t="shared" si="10"/>
        <v>10</v>
      </c>
      <c r="C331" s="2" t="str">
        <f ca="1">IF((OFFSET('384 Well qPCR Layout'!A$16, 0, Sheet3!B29))="", "",  OFFSET('384 Well qPCR Layout'!A$16, 0, Sheet3!B29))</f>
        <v/>
      </c>
      <c r="D331" s="22"/>
      <c r="E331" s="22"/>
      <c r="F331" s="57">
        <v>11.484000205993652</v>
      </c>
      <c r="O331" s="5"/>
    </row>
    <row r="332" spans="1:15" x14ac:dyDescent="0.2">
      <c r="A332" s="2" t="str">
        <f t="shared" si="9"/>
        <v>N</v>
      </c>
      <c r="B332" s="2">
        <f t="shared" si="10"/>
        <v>11</v>
      </c>
      <c r="C332" s="2" t="str">
        <f ca="1">IF((OFFSET('384 Well qPCR Layout'!A$16, 0, Sheet3!B30))="", "",  OFFSET('384 Well qPCR Layout'!A$16, 0, Sheet3!B30))</f>
        <v/>
      </c>
      <c r="D332" s="22"/>
      <c r="E332" s="22"/>
      <c r="F332" s="57">
        <v>6.5770001411437988</v>
      </c>
      <c r="O332" s="5"/>
    </row>
    <row r="333" spans="1:15" x14ac:dyDescent="0.2">
      <c r="A333" s="2" t="str">
        <f t="shared" si="9"/>
        <v>N</v>
      </c>
      <c r="B333" s="2">
        <f t="shared" si="10"/>
        <v>12</v>
      </c>
      <c r="C333" s="2" t="str">
        <f ca="1">IF((OFFSET('384 Well qPCR Layout'!A$16, 0, Sheet3!B31))="", "",  OFFSET('384 Well qPCR Layout'!A$16, 0, Sheet3!B31))</f>
        <v/>
      </c>
      <c r="D333" s="22"/>
      <c r="E333" s="22"/>
      <c r="F333" s="57">
        <v>8.310999870300293</v>
      </c>
      <c r="O333" s="5"/>
    </row>
    <row r="334" spans="1:15" x14ac:dyDescent="0.2">
      <c r="A334" s="2" t="str">
        <f t="shared" si="9"/>
        <v>N</v>
      </c>
      <c r="B334" s="2">
        <f t="shared" si="10"/>
        <v>13</v>
      </c>
      <c r="C334" s="2" t="str">
        <f ca="1">IF((OFFSET('384 Well qPCR Layout'!A$16, 0, Sheet3!B32))="", "",  OFFSET('384 Well qPCR Layout'!A$16, 0, Sheet3!B32))</f>
        <v/>
      </c>
      <c r="D334" s="22"/>
      <c r="E334" s="22"/>
      <c r="F334" s="57" t="s">
        <v>252</v>
      </c>
      <c r="O334" s="5"/>
    </row>
    <row r="335" spans="1:15" x14ac:dyDescent="0.2">
      <c r="A335" s="2" t="str">
        <f t="shared" si="9"/>
        <v>N</v>
      </c>
      <c r="B335" s="2">
        <f t="shared" si="10"/>
        <v>14</v>
      </c>
      <c r="C335" s="2" t="str">
        <f ca="1">IF((OFFSET('384 Well qPCR Layout'!A$16, 0, Sheet3!B33))="", "",  OFFSET('384 Well qPCR Layout'!A$16, 0, Sheet3!B33))</f>
        <v/>
      </c>
      <c r="D335" s="22"/>
      <c r="E335" s="22"/>
      <c r="F335" s="57" t="s">
        <v>252</v>
      </c>
      <c r="O335" s="5"/>
    </row>
    <row r="336" spans="1:15" x14ac:dyDescent="0.2">
      <c r="A336" s="2" t="str">
        <f t="shared" si="9"/>
        <v>N</v>
      </c>
      <c r="B336" s="2">
        <f t="shared" si="10"/>
        <v>15</v>
      </c>
      <c r="C336" s="2" t="str">
        <f ca="1">IF((OFFSET('384 Well qPCR Layout'!A$16, 0, Sheet3!B34))="", "",  OFFSET('384 Well qPCR Layout'!A$16, 0, Sheet3!B34))</f>
        <v/>
      </c>
      <c r="D336" s="22"/>
      <c r="E336" s="22"/>
      <c r="F336" s="57" t="s">
        <v>252</v>
      </c>
      <c r="O336" s="5"/>
    </row>
    <row r="337" spans="1:15" x14ac:dyDescent="0.2">
      <c r="A337" s="2" t="str">
        <f t="shared" si="9"/>
        <v>N</v>
      </c>
      <c r="B337" s="2">
        <f t="shared" si="10"/>
        <v>16</v>
      </c>
      <c r="C337" s="2" t="str">
        <f ca="1">IF((OFFSET('384 Well qPCR Layout'!A$16, 0, Sheet3!B35))="", "",  OFFSET('384 Well qPCR Layout'!A$16, 0, Sheet3!B35))</f>
        <v/>
      </c>
      <c r="D337" s="22"/>
      <c r="E337" s="22"/>
      <c r="F337" s="57" t="s">
        <v>252</v>
      </c>
      <c r="O337" s="5"/>
    </row>
    <row r="338" spans="1:15" x14ac:dyDescent="0.2">
      <c r="A338" s="2" t="str">
        <f t="shared" si="9"/>
        <v>N</v>
      </c>
      <c r="B338" s="2">
        <f t="shared" si="10"/>
        <v>17</v>
      </c>
      <c r="C338" s="2" t="str">
        <f ca="1">IF((OFFSET('384 Well qPCR Layout'!A$16, 0, Sheet3!B36))="", "",  OFFSET('384 Well qPCR Layout'!A$16, 0, Sheet3!B36))</f>
        <v/>
      </c>
      <c r="D338" s="22"/>
      <c r="E338" s="22"/>
      <c r="F338" s="57" t="s">
        <v>252</v>
      </c>
      <c r="O338" s="5"/>
    </row>
    <row r="339" spans="1:15" x14ac:dyDescent="0.2">
      <c r="A339" s="2" t="str">
        <f t="shared" si="9"/>
        <v>N</v>
      </c>
      <c r="B339" s="2">
        <f t="shared" si="10"/>
        <v>18</v>
      </c>
      <c r="C339" s="2" t="str">
        <f ca="1">IF((OFFSET('384 Well qPCR Layout'!A$16, 0, Sheet3!B37))="", "",  OFFSET('384 Well qPCR Layout'!A$16, 0, Sheet3!B37))</f>
        <v/>
      </c>
      <c r="D339" s="22"/>
      <c r="E339" s="22"/>
      <c r="F339" s="57">
        <v>11.958000183105469</v>
      </c>
      <c r="O339" s="5"/>
    </row>
    <row r="340" spans="1:15" x14ac:dyDescent="0.2">
      <c r="A340" s="2" t="str">
        <f t="shared" si="9"/>
        <v>N</v>
      </c>
      <c r="B340" s="2">
        <f t="shared" si="10"/>
        <v>19</v>
      </c>
      <c r="C340" s="2" t="str">
        <f ca="1">IF((OFFSET('384 Well qPCR Layout'!A$16, 0, Sheet3!B38))="", "",  OFFSET('384 Well qPCR Layout'!A$16, 0, Sheet3!B38))</f>
        <v/>
      </c>
      <c r="D340" s="22"/>
      <c r="E340" s="22"/>
      <c r="F340" s="57" t="s">
        <v>252</v>
      </c>
    </row>
    <row r="341" spans="1:15" x14ac:dyDescent="0.2">
      <c r="A341" s="2" t="str">
        <f t="shared" si="9"/>
        <v>N</v>
      </c>
      <c r="B341" s="2">
        <f t="shared" si="10"/>
        <v>20</v>
      </c>
      <c r="C341" s="2" t="str">
        <f ca="1">IF((OFFSET('384 Well qPCR Layout'!A$16, 0, Sheet3!B39))="", "",  OFFSET('384 Well qPCR Layout'!A$16, 0, Sheet3!B39))</f>
        <v/>
      </c>
      <c r="D341" s="22"/>
      <c r="E341" s="22"/>
      <c r="F341" s="57">
        <v>10.789999961853027</v>
      </c>
    </row>
    <row r="342" spans="1:15" x14ac:dyDescent="0.2">
      <c r="A342" s="2" t="str">
        <f t="shared" si="9"/>
        <v>N</v>
      </c>
      <c r="B342" s="2">
        <f t="shared" si="10"/>
        <v>21</v>
      </c>
      <c r="C342" s="2" t="str">
        <f ca="1">IF((OFFSET('384 Well qPCR Layout'!A$16, 0, Sheet3!B40))="", "",  OFFSET('384 Well qPCR Layout'!A$16, 0, Sheet3!B40))</f>
        <v/>
      </c>
      <c r="D342" s="22"/>
      <c r="E342" s="22"/>
      <c r="F342" s="57" t="s">
        <v>252</v>
      </c>
    </row>
    <row r="343" spans="1:15" x14ac:dyDescent="0.2">
      <c r="A343" s="2" t="str">
        <f t="shared" si="9"/>
        <v>N</v>
      </c>
      <c r="B343" s="2">
        <f t="shared" si="10"/>
        <v>22</v>
      </c>
      <c r="C343" s="2" t="str">
        <f ca="1">IF((OFFSET('384 Well qPCR Layout'!A$16, 0, Sheet3!B41))="", "",  OFFSET('384 Well qPCR Layout'!A$16, 0, Sheet3!B41))</f>
        <v>NTC</v>
      </c>
      <c r="D343" s="22"/>
      <c r="E343" s="22"/>
      <c r="F343" s="57">
        <v>26.205999374389648</v>
      </c>
    </row>
    <row r="344" spans="1:15" x14ac:dyDescent="0.2">
      <c r="A344" s="2" t="str">
        <f t="shared" si="9"/>
        <v>N</v>
      </c>
      <c r="B344" s="2">
        <f t="shared" si="10"/>
        <v>23</v>
      </c>
      <c r="C344" s="2" t="str">
        <f ca="1">IF((OFFSET('384 Well qPCR Layout'!A$16, 0, Sheet3!B42))="", "",  OFFSET('384 Well qPCR Layout'!A$16, 0, Sheet3!B42))</f>
        <v/>
      </c>
      <c r="D344" s="22"/>
      <c r="E344" s="22"/>
      <c r="F344" s="57">
        <v>30.336000442504883</v>
      </c>
    </row>
    <row r="345" spans="1:15" x14ac:dyDescent="0.2">
      <c r="A345" s="2" t="str">
        <f t="shared" si="9"/>
        <v>N</v>
      </c>
      <c r="B345" s="2">
        <f t="shared" si="10"/>
        <v>24</v>
      </c>
      <c r="C345" s="2" t="str">
        <f ca="1">IF((OFFSET('384 Well qPCR Layout'!A$16, 0, Sheet3!B43))="", "",  OFFSET('384 Well qPCR Layout'!A$16, 0, Sheet3!B43))</f>
        <v>Standard 3</v>
      </c>
      <c r="D345" s="22"/>
      <c r="E345" s="22"/>
      <c r="F345" s="57">
        <v>16.141000747680664</v>
      </c>
      <c r="O345" s="5"/>
    </row>
    <row r="346" spans="1:15" x14ac:dyDescent="0.2">
      <c r="A346" s="2" t="str">
        <f t="shared" si="9"/>
        <v>O</v>
      </c>
      <c r="B346" s="2">
        <f t="shared" si="10"/>
        <v>1</v>
      </c>
      <c r="C346" s="2" t="str">
        <f ca="1">IF((OFFSET('384 Well qPCR Layout'!A$17, 0, Sheet3!B20))="", "",  OFFSET('384 Well qPCR Layout'!A$17, 0, Sheet3!B20))</f>
        <v>2AP12 (1:1000)</v>
      </c>
      <c r="D346" s="22"/>
      <c r="E346" s="22"/>
      <c r="F346" s="57">
        <v>7.4939999580383301</v>
      </c>
    </row>
    <row r="347" spans="1:15" x14ac:dyDescent="0.2">
      <c r="A347" s="2" t="str">
        <f t="shared" si="9"/>
        <v>O</v>
      </c>
      <c r="B347" s="2">
        <f t="shared" si="10"/>
        <v>2</v>
      </c>
      <c r="C347" s="2" t="str">
        <f ca="1">IF((OFFSET('384 Well qPCR Layout'!A$17, 0, Sheet3!B21))="", "",  OFFSET('384 Well qPCR Layout'!A$17, 0, Sheet3!B21))</f>
        <v/>
      </c>
      <c r="D347" s="22"/>
      <c r="E347" s="22"/>
      <c r="F347" s="57" t="s">
        <v>252</v>
      </c>
      <c r="O347" s="5"/>
    </row>
    <row r="348" spans="1:15" x14ac:dyDescent="0.2">
      <c r="A348" s="2" t="str">
        <f t="shared" si="9"/>
        <v>O</v>
      </c>
      <c r="B348" s="2">
        <f t="shared" si="10"/>
        <v>3</v>
      </c>
      <c r="C348" s="2" t="str">
        <f ca="1">IF((OFFSET('384 Well qPCR Layout'!A$17, 0, Sheet3!B22))="", "",  OFFSET('384 Well qPCR Layout'!A$17, 0, Sheet3!B22))</f>
        <v>2AP20 (1:1000)</v>
      </c>
      <c r="D348" s="22"/>
      <c r="E348" s="22"/>
      <c r="F348" s="57">
        <v>7.9710001945495605</v>
      </c>
      <c r="O348" s="5"/>
    </row>
    <row r="349" spans="1:15" x14ac:dyDescent="0.2">
      <c r="A349" s="2" t="str">
        <f t="shared" si="9"/>
        <v>O</v>
      </c>
      <c r="B349" s="2">
        <f t="shared" si="10"/>
        <v>4</v>
      </c>
      <c r="C349" s="2" t="str">
        <f ca="1">IF((OFFSET('384 Well qPCR Layout'!A$17, 0, Sheet3!B23))="", "",  OFFSET('384 Well qPCR Layout'!A$17, 0, Sheet3!B23))</f>
        <v/>
      </c>
      <c r="D349" s="22"/>
      <c r="E349" s="22"/>
      <c r="F349" s="57" t="s">
        <v>252</v>
      </c>
      <c r="O349" s="5"/>
    </row>
    <row r="350" spans="1:15" x14ac:dyDescent="0.2">
      <c r="A350" s="2" t="str">
        <f t="shared" si="9"/>
        <v>O</v>
      </c>
      <c r="B350" s="2">
        <f t="shared" si="10"/>
        <v>5</v>
      </c>
      <c r="C350" s="2" t="str">
        <f ca="1">IF((OFFSET('384 Well qPCR Layout'!A$17, 0, Sheet3!B24))="", "",  OFFSET('384 Well qPCR Layout'!A$17, 0, Sheet3!B24))</f>
        <v>2AP28 (1:1000)</v>
      </c>
      <c r="D350" s="22"/>
      <c r="E350" s="22"/>
      <c r="F350" s="56">
        <v>7.4219999313354492</v>
      </c>
      <c r="O350" s="5"/>
    </row>
    <row r="351" spans="1:15" x14ac:dyDescent="0.2">
      <c r="A351" s="2" t="str">
        <f t="shared" si="9"/>
        <v>O</v>
      </c>
      <c r="B351" s="2">
        <f t="shared" si="10"/>
        <v>6</v>
      </c>
      <c r="C351" s="2" t="str">
        <f ca="1">IF((OFFSET('384 Well qPCR Layout'!A$17, 0, Sheet3!B25))="", "",  OFFSET('384 Well qPCR Layout'!A$17, 0, Sheet3!B25))</f>
        <v/>
      </c>
      <c r="D351" s="22"/>
      <c r="E351" s="22"/>
      <c r="F351" s="56" t="s">
        <v>252</v>
      </c>
      <c r="O351" s="5"/>
    </row>
    <row r="352" spans="1:15" x14ac:dyDescent="0.2">
      <c r="A352" s="2" t="str">
        <f t="shared" si="9"/>
        <v>O</v>
      </c>
      <c r="B352" s="2">
        <f t="shared" si="10"/>
        <v>7</v>
      </c>
      <c r="C352" s="2" t="str">
        <f ca="1">IF((OFFSET('384 Well qPCR Layout'!A$17, 0, Sheet3!B26))="", "",  OFFSET('384 Well qPCR Layout'!A$17, 0, Sheet3!B26))</f>
        <v>L0P10 (1:1000)</v>
      </c>
      <c r="D352" s="22"/>
      <c r="E352" s="22"/>
      <c r="F352" s="57">
        <v>8.4110002517700195</v>
      </c>
    </row>
    <row r="353" spans="1:15" x14ac:dyDescent="0.2">
      <c r="A353" s="2" t="str">
        <f t="shared" si="9"/>
        <v>O</v>
      </c>
      <c r="B353" s="2">
        <f t="shared" si="10"/>
        <v>8</v>
      </c>
      <c r="C353" s="2" t="str">
        <f ca="1">IF((OFFSET('384 Well qPCR Layout'!A$17, 0, Sheet3!B27))="", "",  OFFSET('384 Well qPCR Layout'!A$17, 0, Sheet3!B27))</f>
        <v/>
      </c>
      <c r="D353" s="22"/>
      <c r="E353" s="22"/>
      <c r="F353" s="57">
        <v>9.6929998397827148</v>
      </c>
      <c r="O353" s="5"/>
    </row>
    <row r="354" spans="1:15" x14ac:dyDescent="0.2">
      <c r="A354" s="2" t="str">
        <f t="shared" si="9"/>
        <v>O</v>
      </c>
      <c r="B354" s="2">
        <f t="shared" si="10"/>
        <v>9</v>
      </c>
      <c r="C354" s="2" t="str">
        <f ca="1">IF((OFFSET('384 Well qPCR Layout'!A$17, 0, Sheet3!B28))="", "",  OFFSET('384 Well qPCR Layout'!A$17, 0, Sheet3!B28))</f>
        <v>L0P18 (1:1000)</v>
      </c>
      <c r="D354" s="22"/>
      <c r="E354" s="22"/>
      <c r="F354" s="57">
        <v>7.6040000915527344</v>
      </c>
    </row>
    <row r="355" spans="1:15" x14ac:dyDescent="0.2">
      <c r="A355" s="2" t="str">
        <f t="shared" ref="A355:A393" si="11">CHAR(CODE(A331)+1)</f>
        <v>O</v>
      </c>
      <c r="B355" s="2">
        <f t="shared" ref="B355:B393" si="12">B331</f>
        <v>10</v>
      </c>
      <c r="C355" s="2" t="str">
        <f ca="1">IF((OFFSET('384 Well qPCR Layout'!A$17, 0, Sheet3!B29))="", "",  OFFSET('384 Well qPCR Layout'!A$17, 0, Sheet3!B29))</f>
        <v/>
      </c>
      <c r="D355" s="22"/>
      <c r="E355" s="22"/>
      <c r="F355" s="56">
        <v>6.8470001220703125</v>
      </c>
      <c r="O355" s="5"/>
    </row>
    <row r="356" spans="1:15" x14ac:dyDescent="0.2">
      <c r="A356" s="2" t="str">
        <f t="shared" si="11"/>
        <v>O</v>
      </c>
      <c r="B356" s="2">
        <f t="shared" si="12"/>
        <v>11</v>
      </c>
      <c r="C356" s="2" t="str">
        <f ca="1">IF((OFFSET('384 Well qPCR Layout'!A$17, 0, Sheet3!B30))="", "",  OFFSET('384 Well qPCR Layout'!A$17, 0, Sheet3!B30))</f>
        <v>L0P26 (1:1000)</v>
      </c>
      <c r="D356" s="22"/>
      <c r="E356" s="22"/>
      <c r="F356" s="56">
        <v>7.6389999389648438</v>
      </c>
      <c r="O356" s="5"/>
    </row>
    <row r="357" spans="1:15" x14ac:dyDescent="0.2">
      <c r="A357" s="2" t="str">
        <f t="shared" si="11"/>
        <v>O</v>
      </c>
      <c r="B357" s="2">
        <f t="shared" si="12"/>
        <v>12</v>
      </c>
      <c r="C357" s="2" t="str">
        <f ca="1">IF((OFFSET('384 Well qPCR Layout'!A$17, 0, Sheet3!B31))="", "",  OFFSET('384 Well qPCR Layout'!A$17, 0, Sheet3!B31))</f>
        <v/>
      </c>
      <c r="D357" s="22"/>
      <c r="E357" s="22"/>
      <c r="F357" s="57">
        <v>11.300000190734863</v>
      </c>
      <c r="O357" s="5"/>
    </row>
    <row r="358" spans="1:15" x14ac:dyDescent="0.2">
      <c r="A358" s="2" t="str">
        <f t="shared" si="11"/>
        <v>O</v>
      </c>
      <c r="B358" s="2">
        <f t="shared" si="12"/>
        <v>13</v>
      </c>
      <c r="C358" s="2" t="str">
        <f ca="1">IF((OFFSET('384 Well qPCR Layout'!A$17, 0, Sheet3!B32))="", "",  OFFSET('384 Well qPCR Layout'!A$17, 0, Sheet3!B32))</f>
        <v/>
      </c>
      <c r="D358" s="22"/>
      <c r="E358" s="22"/>
      <c r="F358" s="57" t="s">
        <v>252</v>
      </c>
      <c r="O358" s="5"/>
    </row>
    <row r="359" spans="1:15" x14ac:dyDescent="0.2">
      <c r="A359" s="2" t="str">
        <f t="shared" si="11"/>
        <v>O</v>
      </c>
      <c r="B359" s="2">
        <f t="shared" si="12"/>
        <v>14</v>
      </c>
      <c r="C359" s="2" t="str">
        <f ca="1">IF((OFFSET('384 Well qPCR Layout'!A$17, 0, Sheet3!B33))="", "",  OFFSET('384 Well qPCR Layout'!A$17, 0, Sheet3!B33))</f>
        <v/>
      </c>
      <c r="D359" s="22"/>
      <c r="E359" s="22"/>
      <c r="F359" s="56">
        <v>31.693000793457031</v>
      </c>
      <c r="O359" s="5"/>
    </row>
    <row r="360" spans="1:15" x14ac:dyDescent="0.2">
      <c r="A360" s="2" t="str">
        <f t="shared" si="11"/>
        <v>O</v>
      </c>
      <c r="B360" s="2">
        <f t="shared" si="12"/>
        <v>15</v>
      </c>
      <c r="C360" s="2" t="str">
        <f ca="1">IF((OFFSET('384 Well qPCR Layout'!A$17, 0, Sheet3!B34))="", "",  OFFSET('384 Well qPCR Layout'!A$17, 0, Sheet3!B34))</f>
        <v>BarLP12C (1:1000)</v>
      </c>
      <c r="D360" s="22"/>
      <c r="E360" s="22"/>
      <c r="F360" s="57">
        <v>6.7579998970031738</v>
      </c>
      <c r="O360" s="5"/>
    </row>
    <row r="361" spans="1:15" x14ac:dyDescent="0.2">
      <c r="A361" s="2" t="str">
        <f t="shared" si="11"/>
        <v>O</v>
      </c>
      <c r="B361" s="2">
        <f t="shared" si="12"/>
        <v>16</v>
      </c>
      <c r="C361" s="2" t="str">
        <f ca="1">IF((OFFSET('384 Well qPCR Layout'!A$17, 0, Sheet3!B35))="", "",  OFFSET('384 Well qPCR Layout'!A$17, 0, Sheet3!B35))</f>
        <v/>
      </c>
      <c r="D361" s="22"/>
      <c r="E361" s="22"/>
      <c r="F361" s="57">
        <v>9.3739995956420898</v>
      </c>
      <c r="O361" s="5"/>
    </row>
    <row r="362" spans="1:15" x14ac:dyDescent="0.2">
      <c r="A362" s="2" t="str">
        <f t="shared" si="11"/>
        <v>O</v>
      </c>
      <c r="B362" s="2">
        <f t="shared" si="12"/>
        <v>17</v>
      </c>
      <c r="C362" s="2" t="str">
        <f ca="1">IF((OFFSET('384 Well qPCR Layout'!A$17, 0, Sheet3!B36))="", "",  OFFSET('384 Well qPCR Layout'!A$17, 0, Sheet3!B36))</f>
        <v>BarLP6H (1:1000)</v>
      </c>
      <c r="D362" s="22"/>
      <c r="E362" s="22"/>
      <c r="F362" s="56">
        <v>9.4200000762939453</v>
      </c>
      <c r="O362" s="5"/>
    </row>
    <row r="363" spans="1:15" x14ac:dyDescent="0.2">
      <c r="A363" s="2" t="str">
        <f t="shared" si="11"/>
        <v>O</v>
      </c>
      <c r="B363" s="2">
        <f t="shared" si="12"/>
        <v>18</v>
      </c>
      <c r="C363" s="2" t="str">
        <f ca="1">IF((OFFSET('384 Well qPCR Layout'!A$17, 0, Sheet3!B37))="", "",  OFFSET('384 Well qPCR Layout'!A$17, 0, Sheet3!B37))</f>
        <v/>
      </c>
      <c r="D363" s="22"/>
      <c r="E363" s="22"/>
      <c r="F363" s="57" t="s">
        <v>252</v>
      </c>
    </row>
    <row r="364" spans="1:15" x14ac:dyDescent="0.2">
      <c r="A364" s="2" t="str">
        <f t="shared" si="11"/>
        <v>O</v>
      </c>
      <c r="B364" s="2">
        <f t="shared" si="12"/>
        <v>19</v>
      </c>
      <c r="C364" s="2" t="str">
        <f ca="1">IF((OFFSET('384 Well qPCR Layout'!A$17, 0, Sheet3!B38))="", "",  OFFSET('384 Well qPCR Layout'!A$17, 0, Sheet3!B38))</f>
        <v>BarLP14H (1:1000)</v>
      </c>
      <c r="D364" s="22"/>
      <c r="E364" s="22"/>
      <c r="F364" s="57">
        <v>7.744999885559082</v>
      </c>
    </row>
    <row r="365" spans="1:15" x14ac:dyDescent="0.2">
      <c r="A365" s="2" t="str">
        <f t="shared" si="11"/>
        <v>O</v>
      </c>
      <c r="B365" s="2">
        <f t="shared" si="12"/>
        <v>20</v>
      </c>
      <c r="C365" s="2" t="str">
        <f ca="1">IF((OFFSET('384 Well qPCR Layout'!A$17, 0, Sheet3!B39))="", "",  OFFSET('384 Well qPCR Layout'!A$17, 0, Sheet3!B39))</f>
        <v/>
      </c>
      <c r="D365" s="22"/>
      <c r="E365" s="22"/>
      <c r="F365" s="57" t="s">
        <v>252</v>
      </c>
    </row>
    <row r="366" spans="1:15" x14ac:dyDescent="0.2">
      <c r="A366" s="2" t="str">
        <f t="shared" si="11"/>
        <v>O</v>
      </c>
      <c r="B366" s="2">
        <f t="shared" si="12"/>
        <v>21</v>
      </c>
      <c r="C366" s="2" t="str">
        <f ca="1">IF((OFFSET('384 Well qPCR Layout'!A$17, 0, Sheet3!B40))="", "",  OFFSET('384 Well qPCR Layout'!A$17, 0, Sheet3!B40))</f>
        <v/>
      </c>
      <c r="D366" s="22"/>
      <c r="E366" s="22"/>
      <c r="F366" s="57">
        <v>6.9409999847412109</v>
      </c>
    </row>
    <row r="367" spans="1:15" x14ac:dyDescent="0.2">
      <c r="A367" s="2" t="str">
        <f t="shared" si="11"/>
        <v>O</v>
      </c>
      <c r="B367" s="2">
        <f t="shared" si="12"/>
        <v>22</v>
      </c>
      <c r="C367" s="2" t="str">
        <f ca="1">IF((OFFSET('384 Well qPCR Layout'!A$17, 0, Sheet3!B41))="", "",  OFFSET('384 Well qPCR Layout'!A$17, 0, Sheet3!B41))</f>
        <v/>
      </c>
      <c r="D367" s="22"/>
      <c r="E367" s="22"/>
      <c r="F367" s="56" t="s">
        <v>252</v>
      </c>
    </row>
    <row r="368" spans="1:15" x14ac:dyDescent="0.2">
      <c r="A368" s="2" t="str">
        <f t="shared" si="11"/>
        <v>O</v>
      </c>
      <c r="B368" s="2">
        <f t="shared" si="12"/>
        <v>23</v>
      </c>
      <c r="C368" s="2" t="str">
        <f ca="1">IF((OFFSET('384 Well qPCR Layout'!A$17, 0, Sheet3!B42))="", "",  OFFSET('384 Well qPCR Layout'!A$17, 0, Sheet3!B42))</f>
        <v/>
      </c>
      <c r="D368" s="22"/>
      <c r="E368" s="22"/>
      <c r="F368" s="57">
        <v>17.163999557495117</v>
      </c>
    </row>
    <row r="369" spans="1:15" x14ac:dyDescent="0.2">
      <c r="A369" s="2" t="str">
        <f t="shared" si="11"/>
        <v>O</v>
      </c>
      <c r="B369" s="2">
        <f t="shared" si="12"/>
        <v>24</v>
      </c>
      <c r="C369" s="2" t="str">
        <f ca="1">IF((OFFSET('384 Well qPCR Layout'!A$17, 0, Sheet3!B43))="", "",  OFFSET('384 Well qPCR Layout'!A$17, 0, Sheet3!B43))</f>
        <v/>
      </c>
      <c r="D369" s="22"/>
      <c r="E369" s="22"/>
      <c r="F369" s="57">
        <v>20.447999954223633</v>
      </c>
      <c r="O369" s="5"/>
    </row>
    <row r="370" spans="1:15" x14ac:dyDescent="0.2">
      <c r="A370" s="2" t="str">
        <f t="shared" si="11"/>
        <v>P</v>
      </c>
      <c r="B370" s="2">
        <f t="shared" si="12"/>
        <v>1</v>
      </c>
      <c r="C370" s="2" t="str">
        <f ca="1">IF((OFFSET('384 Well qPCR Layout'!A$18, 0, Sheet3!B20))="", "",  OFFSET('384 Well qPCR Layout'!A$18, 0, Sheet3!B20))</f>
        <v/>
      </c>
      <c r="D370" s="22"/>
      <c r="E370" s="22"/>
      <c r="F370" s="57" t="s">
        <v>252</v>
      </c>
      <c r="O370" s="5"/>
    </row>
    <row r="371" spans="1:15" x14ac:dyDescent="0.2">
      <c r="A371" s="2" t="str">
        <f t="shared" si="11"/>
        <v>P</v>
      </c>
      <c r="B371" s="2">
        <f t="shared" si="12"/>
        <v>2</v>
      </c>
      <c r="C371" s="2" t="str">
        <f ca="1">IF((OFFSET('384 Well qPCR Layout'!A$18, 0, Sheet3!B21))="", "",  OFFSET('384 Well qPCR Layout'!A$18, 0, Sheet3!B21))</f>
        <v/>
      </c>
      <c r="D371" s="22"/>
      <c r="E371" s="22"/>
      <c r="F371" s="57" t="s">
        <v>252</v>
      </c>
      <c r="O371" s="5"/>
    </row>
    <row r="372" spans="1:15" x14ac:dyDescent="0.2">
      <c r="A372" s="2" t="str">
        <f t="shared" si="11"/>
        <v>P</v>
      </c>
      <c r="B372" s="2">
        <f t="shared" si="12"/>
        <v>3</v>
      </c>
      <c r="C372" s="2" t="str">
        <f ca="1">IF((OFFSET('384 Well qPCR Layout'!A$18, 0, Sheet3!B22))="", "",  OFFSET('384 Well qPCR Layout'!A$18, 0, Sheet3!B22))</f>
        <v/>
      </c>
      <c r="D372" s="22"/>
      <c r="E372" s="22"/>
      <c r="F372" s="57" t="s">
        <v>252</v>
      </c>
      <c r="O372" s="5"/>
    </row>
    <row r="373" spans="1:15" x14ac:dyDescent="0.2">
      <c r="A373" s="2" t="str">
        <f t="shared" si="11"/>
        <v>P</v>
      </c>
      <c r="B373" s="2">
        <f t="shared" si="12"/>
        <v>4</v>
      </c>
      <c r="C373" s="2" t="str">
        <f ca="1">IF((OFFSET('384 Well qPCR Layout'!A$18, 0, Sheet3!B23))="", "",  OFFSET('384 Well qPCR Layout'!A$18, 0, Sheet3!B23))</f>
        <v/>
      </c>
      <c r="D373" s="22"/>
      <c r="E373" s="22"/>
      <c r="F373" s="57" t="s">
        <v>252</v>
      </c>
      <c r="O373" s="5"/>
    </row>
    <row r="374" spans="1:15" x14ac:dyDescent="0.2">
      <c r="A374" s="2" t="str">
        <f t="shared" si="11"/>
        <v>P</v>
      </c>
      <c r="B374" s="2">
        <f t="shared" si="12"/>
        <v>5</v>
      </c>
      <c r="C374" s="2" t="str">
        <f ca="1">IF((OFFSET('384 Well qPCR Layout'!A$18, 0, Sheet3!B24))="", "",  OFFSET('384 Well qPCR Layout'!A$18, 0, Sheet3!B24))</f>
        <v/>
      </c>
      <c r="D374" s="22"/>
      <c r="E374" s="22"/>
      <c r="F374" s="57" t="s">
        <v>252</v>
      </c>
      <c r="O374" s="5"/>
    </row>
    <row r="375" spans="1:15" x14ac:dyDescent="0.2">
      <c r="A375" s="2" t="str">
        <f t="shared" si="11"/>
        <v>P</v>
      </c>
      <c r="B375" s="2">
        <f t="shared" si="12"/>
        <v>6</v>
      </c>
      <c r="C375" s="2" t="str">
        <f ca="1">IF((OFFSET('384 Well qPCR Layout'!A$18, 0, Sheet3!B25))="", "",  OFFSET('384 Well qPCR Layout'!A$18, 0, Sheet3!B25))</f>
        <v/>
      </c>
      <c r="D375" s="22"/>
      <c r="E375" s="22"/>
      <c r="F375" s="57">
        <v>9.7399997711181641</v>
      </c>
      <c r="O375" s="5"/>
    </row>
    <row r="376" spans="1:15" x14ac:dyDescent="0.2">
      <c r="A376" s="2" t="str">
        <f t="shared" si="11"/>
        <v>P</v>
      </c>
      <c r="B376" s="2">
        <f t="shared" si="12"/>
        <v>7</v>
      </c>
      <c r="C376" s="2" t="str">
        <f ca="1">IF((OFFSET('384 Well qPCR Layout'!A$18, 0, Sheet3!B26))="", "",  OFFSET('384 Well qPCR Layout'!A$18, 0, Sheet3!B26))</f>
        <v/>
      </c>
      <c r="D376" s="22"/>
      <c r="E376" s="22"/>
      <c r="F376" s="57" t="s">
        <v>252</v>
      </c>
    </row>
    <row r="377" spans="1:15" x14ac:dyDescent="0.2">
      <c r="A377" s="2" t="str">
        <f t="shared" si="11"/>
        <v>P</v>
      </c>
      <c r="B377" s="2">
        <f t="shared" si="12"/>
        <v>8</v>
      </c>
      <c r="C377" s="2" t="str">
        <f ca="1">IF((OFFSET('384 Well qPCR Layout'!A$18, 0, Sheet3!B27))="", "",  OFFSET('384 Well qPCR Layout'!A$18, 0, Sheet3!B27))</f>
        <v/>
      </c>
      <c r="D377" s="22"/>
      <c r="E377" s="22"/>
      <c r="F377" s="57" t="s">
        <v>252</v>
      </c>
    </row>
    <row r="378" spans="1:15" x14ac:dyDescent="0.2">
      <c r="A378" s="2" t="str">
        <f t="shared" si="11"/>
        <v>P</v>
      </c>
      <c r="B378" s="2">
        <f t="shared" si="12"/>
        <v>9</v>
      </c>
      <c r="C378" s="2" t="str">
        <f ca="1">IF((OFFSET('384 Well qPCR Layout'!A$18, 0, Sheet3!B28))="", "",  OFFSET('384 Well qPCR Layout'!A$18, 0, Sheet3!B28))</f>
        <v/>
      </c>
      <c r="D378" s="22"/>
      <c r="E378" s="22"/>
      <c r="F378" s="57" t="s">
        <v>252</v>
      </c>
    </row>
    <row r="379" spans="1:15" x14ac:dyDescent="0.2">
      <c r="A379" s="2" t="str">
        <f t="shared" si="11"/>
        <v>P</v>
      </c>
      <c r="B379" s="2">
        <f t="shared" si="12"/>
        <v>10</v>
      </c>
      <c r="C379" s="2" t="str">
        <f ca="1">IF((OFFSET('384 Well qPCR Layout'!A$18, 0, Sheet3!B29))="", "",  OFFSET('384 Well qPCR Layout'!A$18, 0, Sheet3!B29))</f>
        <v/>
      </c>
      <c r="D379" s="22"/>
      <c r="E379" s="22"/>
      <c r="F379" s="57" t="s">
        <v>252</v>
      </c>
    </row>
    <row r="380" spans="1:15" x14ac:dyDescent="0.2">
      <c r="A380" s="2" t="str">
        <f t="shared" si="11"/>
        <v>P</v>
      </c>
      <c r="B380" s="2">
        <f t="shared" si="12"/>
        <v>11</v>
      </c>
      <c r="C380" s="2" t="str">
        <f ca="1">IF((OFFSET('384 Well qPCR Layout'!A$18, 0, Sheet3!B30))="", "",  OFFSET('384 Well qPCR Layout'!A$18, 0, Sheet3!B30))</f>
        <v/>
      </c>
      <c r="D380" s="22"/>
      <c r="E380" s="22"/>
      <c r="F380" s="57" t="s">
        <v>252</v>
      </c>
    </row>
    <row r="381" spans="1:15" x14ac:dyDescent="0.2">
      <c r="A381" s="2" t="str">
        <f t="shared" si="11"/>
        <v>P</v>
      </c>
      <c r="B381" s="2">
        <f t="shared" si="12"/>
        <v>12</v>
      </c>
      <c r="C381" s="2" t="str">
        <f ca="1">IF((OFFSET('384 Well qPCR Layout'!A$18, 0, Sheet3!B31))="", "",  OFFSET('384 Well qPCR Layout'!A$18, 0, Sheet3!B31))</f>
        <v/>
      </c>
      <c r="D381" s="22"/>
      <c r="E381" s="22"/>
      <c r="F381" s="57" t="s">
        <v>252</v>
      </c>
      <c r="O381" s="5"/>
    </row>
    <row r="382" spans="1:15" x14ac:dyDescent="0.2">
      <c r="A382" s="2" t="str">
        <f t="shared" si="11"/>
        <v>P</v>
      </c>
      <c r="B382" s="2">
        <f t="shared" si="12"/>
        <v>13</v>
      </c>
      <c r="C382" s="2" t="str">
        <f ca="1">IF((OFFSET('384 Well qPCR Layout'!A$18, 0, Sheet3!B32))="", "",  OFFSET('384 Well qPCR Layout'!A$18, 0, Sheet3!B32))</f>
        <v/>
      </c>
      <c r="D382" s="22"/>
      <c r="E382" s="22"/>
      <c r="F382" s="57" t="s">
        <v>252</v>
      </c>
      <c r="O382" s="5"/>
    </row>
    <row r="383" spans="1:15" x14ac:dyDescent="0.2">
      <c r="A383" s="2" t="str">
        <f t="shared" si="11"/>
        <v>P</v>
      </c>
      <c r="B383" s="2">
        <f t="shared" si="12"/>
        <v>14</v>
      </c>
      <c r="C383" s="2" t="str">
        <f ca="1">IF((OFFSET('384 Well qPCR Layout'!A$18, 0, Sheet3!B33))="", "",  OFFSET('384 Well qPCR Layout'!A$18, 0, Sheet3!B33))</f>
        <v/>
      </c>
      <c r="D383" s="22"/>
      <c r="E383" s="22"/>
      <c r="F383" s="57">
        <v>9.0749998092651367</v>
      </c>
      <c r="O383" s="5"/>
    </row>
    <row r="384" spans="1:15" x14ac:dyDescent="0.2">
      <c r="A384" s="2" t="str">
        <f t="shared" si="11"/>
        <v>P</v>
      </c>
      <c r="B384" s="2">
        <f t="shared" si="12"/>
        <v>15</v>
      </c>
      <c r="C384" s="2" t="str">
        <f ca="1">IF((OFFSET('384 Well qPCR Layout'!A$18, 0, Sheet3!B34))="", "",  OFFSET('384 Well qPCR Layout'!A$18, 0, Sheet3!B34))</f>
        <v/>
      </c>
      <c r="D384" s="22"/>
      <c r="E384" s="22"/>
      <c r="F384" s="57" t="s">
        <v>252</v>
      </c>
      <c r="O384" s="5"/>
    </row>
    <row r="385" spans="1:15" x14ac:dyDescent="0.2">
      <c r="A385" s="2" t="str">
        <f t="shared" si="11"/>
        <v>P</v>
      </c>
      <c r="B385" s="2">
        <f t="shared" si="12"/>
        <v>16</v>
      </c>
      <c r="C385" s="2" t="str">
        <f ca="1">IF((OFFSET('384 Well qPCR Layout'!A$18, 0, Sheet3!B35))="", "",  OFFSET('384 Well qPCR Layout'!A$18, 0, Sheet3!B35))</f>
        <v/>
      </c>
      <c r="D385" s="22"/>
      <c r="E385" s="22"/>
      <c r="F385" s="57" t="s">
        <v>252</v>
      </c>
      <c r="O385" s="5"/>
    </row>
    <row r="386" spans="1:15" x14ac:dyDescent="0.2">
      <c r="A386" s="2" t="str">
        <f t="shared" si="11"/>
        <v>P</v>
      </c>
      <c r="B386" s="2">
        <f t="shared" si="12"/>
        <v>17</v>
      </c>
      <c r="C386" s="2" t="str">
        <f ca="1">IF((OFFSET('384 Well qPCR Layout'!A$18, 0, Sheet3!B36))="", "",  OFFSET('384 Well qPCR Layout'!A$18, 0, Sheet3!B36))</f>
        <v/>
      </c>
      <c r="D386" s="22"/>
      <c r="E386" s="22"/>
      <c r="F386" s="57" t="s">
        <v>252</v>
      </c>
      <c r="O386" s="5"/>
    </row>
    <row r="387" spans="1:15" x14ac:dyDescent="0.2">
      <c r="A387" s="2" t="str">
        <f t="shared" si="11"/>
        <v>P</v>
      </c>
      <c r="B387" s="2">
        <f t="shared" si="12"/>
        <v>18</v>
      </c>
      <c r="C387" s="2" t="str">
        <f ca="1">IF((OFFSET('384 Well qPCR Layout'!A$18, 0, Sheet3!B37))="", "",  OFFSET('384 Well qPCR Layout'!A$18, 0, Sheet3!B37))</f>
        <v/>
      </c>
      <c r="D387" s="22"/>
      <c r="E387" s="22"/>
      <c r="F387" s="57">
        <v>27.951000213623047</v>
      </c>
      <c r="O387" s="5"/>
    </row>
    <row r="388" spans="1:15" x14ac:dyDescent="0.2">
      <c r="A388" s="2" t="str">
        <f t="shared" si="11"/>
        <v>P</v>
      </c>
      <c r="B388" s="2">
        <f t="shared" si="12"/>
        <v>19</v>
      </c>
      <c r="C388" s="2" t="str">
        <f ca="1">IF((OFFSET('384 Well qPCR Layout'!A$18, 0, Sheet3!B38))="", "",  OFFSET('384 Well qPCR Layout'!A$18, 0, Sheet3!B38))</f>
        <v/>
      </c>
      <c r="D388" s="22"/>
      <c r="E388" s="22"/>
      <c r="F388" s="57" t="s">
        <v>252</v>
      </c>
      <c r="O388" s="5"/>
    </row>
    <row r="389" spans="1:15" x14ac:dyDescent="0.2">
      <c r="A389" s="2" t="str">
        <f t="shared" si="11"/>
        <v>P</v>
      </c>
      <c r="B389" s="2">
        <f t="shared" si="12"/>
        <v>20</v>
      </c>
      <c r="C389" s="2" t="str">
        <f ca="1">IF((OFFSET('384 Well qPCR Layout'!A$18, 0, Sheet3!B39))="", "",  OFFSET('384 Well qPCR Layout'!A$18, 0, Sheet3!B39))</f>
        <v/>
      </c>
      <c r="D389" s="22"/>
      <c r="E389" s="22"/>
      <c r="F389" s="57">
        <v>22.919000625610352</v>
      </c>
    </row>
    <row r="390" spans="1:15" x14ac:dyDescent="0.2">
      <c r="A390" s="2" t="str">
        <f t="shared" si="11"/>
        <v>P</v>
      </c>
      <c r="B390" s="2">
        <f t="shared" si="12"/>
        <v>21</v>
      </c>
      <c r="C390" s="2" t="str">
        <f ca="1">IF((OFFSET('384 Well qPCR Layout'!A$18, 0, Sheet3!B40))="", "",  OFFSET('384 Well qPCR Layout'!A$18, 0, Sheet3!B40))</f>
        <v/>
      </c>
      <c r="D390" s="22"/>
      <c r="E390" s="22"/>
      <c r="F390" s="57" t="s">
        <v>252</v>
      </c>
    </row>
    <row r="391" spans="1:15" x14ac:dyDescent="0.2">
      <c r="A391" s="2" t="str">
        <f t="shared" si="11"/>
        <v>P</v>
      </c>
      <c r="B391" s="2">
        <f t="shared" si="12"/>
        <v>22</v>
      </c>
      <c r="C391" s="2" t="str">
        <f ca="1">IF((OFFSET('384 Well qPCR Layout'!A$18, 0, Sheet3!B41))="", "",  OFFSET('384 Well qPCR Layout'!A$18, 0, Sheet3!B41))</f>
        <v>NTC</v>
      </c>
      <c r="D391" s="22"/>
      <c r="E391" s="22"/>
      <c r="F391" s="57">
        <v>26.450000762939453</v>
      </c>
    </row>
    <row r="392" spans="1:15" x14ac:dyDescent="0.2">
      <c r="A392" s="2" t="str">
        <f t="shared" si="11"/>
        <v>P</v>
      </c>
      <c r="B392" s="2">
        <f t="shared" si="12"/>
        <v>23</v>
      </c>
      <c r="C392" s="2" t="str">
        <f ca="1">IF((OFFSET('384 Well qPCR Layout'!A$18, 0, Sheet3!B42))="", "",  OFFSET('384 Well qPCR Layout'!A$18, 0, Sheet3!B42))</f>
        <v/>
      </c>
      <c r="D392" s="22"/>
      <c r="E392" s="22"/>
      <c r="F392" s="57" t="s">
        <v>252</v>
      </c>
    </row>
    <row r="393" spans="1:15" x14ac:dyDescent="0.2">
      <c r="A393" s="2" t="str">
        <f t="shared" si="11"/>
        <v>P</v>
      </c>
      <c r="B393" s="2">
        <f t="shared" si="12"/>
        <v>24</v>
      </c>
      <c r="C393" s="2" t="str">
        <f ca="1">IF((OFFSET('384 Well qPCR Layout'!A$18, 0, Sheet3!B43))="", "",  OFFSET('384 Well qPCR Layout'!A$18, 0, Sheet3!B43))</f>
        <v>Standard 4</v>
      </c>
      <c r="D393" s="22"/>
      <c r="E393" s="22"/>
      <c r="F393" s="57">
        <v>19.903999328613281</v>
      </c>
    </row>
  </sheetData>
  <sheetProtection password="F868" sheet="1" objects="1" scenarios="1"/>
  <mergeCells count="1">
    <mergeCell ref="A9:B9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E401"/>
  <sheetViews>
    <sheetView workbookViewId="0">
      <selection activeCell="A18" sqref="A18"/>
    </sheetView>
  </sheetViews>
  <sheetFormatPr baseColWidth="10" defaultColWidth="8.83203125" defaultRowHeight="15" x14ac:dyDescent="0.2"/>
  <cols>
    <col min="1" max="1" width="15.83203125" customWidth="1"/>
    <col min="2" max="2" width="21.1640625" bestFit="1" customWidth="1"/>
    <col min="3" max="4" width="20.5" bestFit="1" customWidth="1"/>
    <col min="5" max="5" width="18.5" bestFit="1" customWidth="1"/>
  </cols>
  <sheetData>
    <row r="1" spans="1:5" ht="16" thickTop="1" x14ac:dyDescent="0.2">
      <c r="A1" s="153" t="s">
        <v>23</v>
      </c>
      <c r="B1" s="154"/>
      <c r="C1" s="154"/>
      <c r="D1" s="154"/>
      <c r="E1" s="155"/>
    </row>
    <row r="2" spans="1:5" x14ac:dyDescent="0.2">
      <c r="A2" s="6"/>
      <c r="B2" s="2"/>
      <c r="C2" s="2" t="s">
        <v>24</v>
      </c>
      <c r="D2" s="7"/>
      <c r="E2" s="8"/>
    </row>
    <row r="3" spans="1:5" x14ac:dyDescent="0.2">
      <c r="A3" s="9" t="s">
        <v>25</v>
      </c>
      <c r="B3" s="10" t="s">
        <v>26</v>
      </c>
      <c r="C3" s="10" t="s">
        <v>27</v>
      </c>
      <c r="D3" s="11" t="s">
        <v>28</v>
      </c>
      <c r="E3" s="12" t="s">
        <v>29</v>
      </c>
    </row>
    <row r="4" spans="1:5" x14ac:dyDescent="0.2">
      <c r="A4" s="6" t="s">
        <v>18</v>
      </c>
      <c r="B4" s="2">
        <v>20</v>
      </c>
      <c r="C4" s="49">
        <f>AVERAGE('Paste qPCR Data Here'!F249, 'Paste qPCR Data Here'!F57)</f>
        <v>8.8249998092651367</v>
      </c>
      <c r="D4" s="7">
        <f>IF(NOT(C4=""),($B$4/B4)*2^(SLOPE(LOG($B$4:$B$7,2),$C$4:$C$7)*C4+INTERCEPT(LOG($B$4:$B$7,2),$C$4:$C$7)),"")</f>
        <v>20.921748126540763</v>
      </c>
      <c r="E4" s="13">
        <f>ABS(D4-20)/20</f>
        <v>4.6087406327038137E-2</v>
      </c>
    </row>
    <row r="5" spans="1:5" x14ac:dyDescent="0.2">
      <c r="A5" s="6" t="s">
        <v>19</v>
      </c>
      <c r="B5" s="2">
        <v>2</v>
      </c>
      <c r="C5" s="49">
        <f>AVERAGE('Paste qPCR Data Here'!F297, 'Paste qPCR Data Here'!F105)</f>
        <v>12.680999755859375</v>
      </c>
      <c r="D5" s="7">
        <f>IF(NOT(C5=""),($B$4/B5)*2^(SLOPE(LOG($B$4:$B$7,2),$C$4:$C$7)*C5+INTERCEPT(LOG($B$4:$B$7,2),$C$4:$C$7)),"")</f>
        <v>18.330460464170713</v>
      </c>
      <c r="E5" s="13">
        <f>ABS(D5-20)/20</f>
        <v>8.3476976791464347E-2</v>
      </c>
    </row>
    <row r="6" spans="1:5" x14ac:dyDescent="0.2">
      <c r="A6" s="6" t="s">
        <v>20</v>
      </c>
      <c r="B6" s="2">
        <v>0.2</v>
      </c>
      <c r="C6" s="49">
        <f>AVERAGE('Paste qPCR Data Here'!F345,'Paste qPCR Data Here'!F153)</f>
        <v>16.135000228881836</v>
      </c>
      <c r="D6" s="7">
        <f>IF(NOT(C6=""),($B$4/B6)*2^(SLOPE(LOG($B$4:$B$7,2),$C$4:$C$7)*C6+INTERCEPT(LOG($B$4:$B$7,2),$C$4:$C$7)),"")</f>
        <v>20.700862553777949</v>
      </c>
      <c r="E6" s="13">
        <f>ABS(D6-20)/20</f>
        <v>3.5043127688897432E-2</v>
      </c>
    </row>
    <row r="7" spans="1:5" x14ac:dyDescent="0.2">
      <c r="A7" s="6" t="s">
        <v>21</v>
      </c>
      <c r="B7" s="2">
        <v>0.02</v>
      </c>
      <c r="C7" s="49">
        <f>AVERAGE('Paste qPCR Data Here'!F393, 'Paste qPCR Data Here'!F201)</f>
        <v>19.823999404907227</v>
      </c>
      <c r="D7" s="7">
        <f>IF(NOT(C7=""),($B$4/B7)*2^(SLOPE(LOG($B$4:$B$7,2),$C$4:$C$7)*C7+INTERCEPT(LOG($B$4:$B$7,2),$C$4:$C$7)),"")</f>
        <v>20.153950929084679</v>
      </c>
      <c r="E7" s="13">
        <f>ABS(D7-20)/20</f>
        <v>7.697546454233972E-3</v>
      </c>
    </row>
    <row r="8" spans="1:5" x14ac:dyDescent="0.2">
      <c r="A8" s="6"/>
      <c r="B8" s="2"/>
      <c r="C8" s="2"/>
      <c r="D8" s="7"/>
      <c r="E8" s="13"/>
    </row>
    <row r="9" spans="1:5" x14ac:dyDescent="0.2">
      <c r="A9" s="6"/>
      <c r="B9" s="2"/>
      <c r="C9" s="2"/>
      <c r="D9" s="7"/>
      <c r="E9" s="13"/>
    </row>
    <row r="10" spans="1:5" x14ac:dyDescent="0.2">
      <c r="A10" s="6"/>
      <c r="B10" s="2"/>
      <c r="C10" s="2"/>
      <c r="D10" s="7"/>
      <c r="E10" s="8"/>
    </row>
    <row r="11" spans="1:5" x14ac:dyDescent="0.2">
      <c r="A11" s="6" t="s">
        <v>30</v>
      </c>
      <c r="B11" s="2">
        <v>0</v>
      </c>
      <c r="C11" s="2">
        <f>'Paste qPCR Data Here'!F247</f>
        <v>26.159000396728516</v>
      </c>
      <c r="D11" s="7"/>
      <c r="E11" s="8"/>
    </row>
    <row r="12" spans="1:5" x14ac:dyDescent="0.2">
      <c r="A12" s="6" t="s">
        <v>31</v>
      </c>
      <c r="B12" s="2">
        <v>0</v>
      </c>
      <c r="C12" s="2">
        <f>'Paste qPCR Data Here'!F295</f>
        <v>26.072999954223633</v>
      </c>
      <c r="D12" s="7"/>
      <c r="E12" s="8"/>
    </row>
    <row r="13" spans="1:5" x14ac:dyDescent="0.2">
      <c r="A13" s="6" t="s">
        <v>32</v>
      </c>
      <c r="B13" s="2">
        <v>0</v>
      </c>
      <c r="C13" s="2">
        <f>'Paste qPCR Data Here'!F343</f>
        <v>26.205999374389648</v>
      </c>
      <c r="D13" s="7"/>
      <c r="E13" s="8"/>
    </row>
    <row r="14" spans="1:5" ht="16" thickBot="1" x14ac:dyDescent="0.25">
      <c r="A14" s="14" t="s">
        <v>33</v>
      </c>
      <c r="B14" s="15">
        <v>0</v>
      </c>
      <c r="C14" s="15">
        <f>'Paste qPCR Data Here'!F391</f>
        <v>26.450000762939453</v>
      </c>
      <c r="D14" s="16"/>
      <c r="E14" s="17"/>
    </row>
    <row r="15" spans="1:5" ht="16" thickTop="1" x14ac:dyDescent="0.2"/>
    <row r="16" spans="1:5" ht="16" thickBot="1" x14ac:dyDescent="0.25"/>
    <row r="17" spans="1:5" ht="16" thickBot="1" x14ac:dyDescent="0.25">
      <c r="A17" s="59" t="s">
        <v>34</v>
      </c>
      <c r="B17" s="60" t="s">
        <v>37</v>
      </c>
      <c r="C17" s="60" t="s">
        <v>35</v>
      </c>
      <c r="D17" s="60" t="s">
        <v>38</v>
      </c>
      <c r="E17" s="60" t="s">
        <v>36</v>
      </c>
    </row>
    <row r="18" spans="1:5" x14ac:dyDescent="0.2">
      <c r="A18" s="58" t="str">
        <f ca="1">'384 Well qPCR Layout'!B3</f>
        <v>2AP5 (1:1000)</v>
      </c>
      <c r="B18" s="61">
        <f ca="1">IF(A18="", "",'Paste Sample Names Here'!$C$3)</f>
        <v>1000</v>
      </c>
      <c r="C18" s="58">
        <f ca="1">IF(A18="", "", OFFSET('Paste qPCR Data Here'!$F$10, 24*Sheet3!B45, 0))</f>
        <v>7.7849998474121094</v>
      </c>
      <c r="D18" s="58">
        <f ca="1">IF(C18="", "", 2^(SLOPE(LOG($B$4:$B$7,2),$C$4:$C$7)*C18+INTERCEPT(LOG($B$4:$B$7,2),$C$4:$C$7)))</f>
        <v>40.345533969351457</v>
      </c>
      <c r="E18" s="58">
        <f ca="1">IF(C18="", "", D18*B18)</f>
        <v>40345.533969351454</v>
      </c>
    </row>
    <row r="19" spans="1:5" x14ac:dyDescent="0.2">
      <c r="A19" s="27" t="str">
        <f ca="1">'384 Well qPCR Layout'!B4</f>
        <v/>
      </c>
      <c r="B19" s="62" t="str">
        <f ca="1">IF(A19="", "", 'Paste Sample Names Here'!$G$3)</f>
        <v/>
      </c>
      <c r="C19" s="27" t="str">
        <f ca="1">IF(A19="", "", OFFSET('Paste qPCR Data Here'!$F$10, 24*Sheet3!B46, 0))</f>
        <v/>
      </c>
      <c r="D19" s="27" t="str">
        <f t="shared" ref="D19:D82" ca="1" si="0">IF(C19="", "", 2^(SLOPE(LOG($B$4:$B$7,2),$C$4:$C$7)*C19+INTERCEPT(LOG($B$4:$B$7,2),$C$4:$C$7)))</f>
        <v/>
      </c>
      <c r="E19" s="27" t="str">
        <f t="shared" ref="E19:E82" ca="1" si="1">IF(C19="", "", D19*B19)</f>
        <v/>
      </c>
    </row>
    <row r="20" spans="1:5" x14ac:dyDescent="0.2">
      <c r="A20" s="27" t="str">
        <f ca="1">'384 Well qPCR Layout'!B5</f>
        <v>2AP6 (1:1000)</v>
      </c>
      <c r="B20" s="61">
        <f ca="1">IF(A20="", "",'Paste Sample Names Here'!$C$3)</f>
        <v>1000</v>
      </c>
      <c r="C20" s="27">
        <f ca="1">IF(A20="", "", OFFSET('Paste qPCR Data Here'!$F$10, 24*Sheet3!B47, 0))</f>
        <v>7.7080001831054688</v>
      </c>
      <c r="D20" s="27">
        <f t="shared" ca="1" si="0"/>
        <v>42.355611915294801</v>
      </c>
      <c r="E20" s="27">
        <f t="shared" ca="1" si="1"/>
        <v>42355.611915294801</v>
      </c>
    </row>
    <row r="21" spans="1:5" x14ac:dyDescent="0.2">
      <c r="A21" s="27" t="str">
        <f ca="1">'384 Well qPCR Layout'!B6</f>
        <v/>
      </c>
      <c r="B21" s="62" t="str">
        <f ca="1">IF(A21="", "", 'Paste Sample Names Here'!$G$3)</f>
        <v/>
      </c>
      <c r="C21" s="27" t="str">
        <f ca="1">IF(A21="", "", OFFSET('Paste qPCR Data Here'!$F$10, 24*Sheet3!B48, 0))</f>
        <v/>
      </c>
      <c r="D21" s="27" t="str">
        <f t="shared" ca="1" si="0"/>
        <v/>
      </c>
      <c r="E21" s="27" t="str">
        <f t="shared" ca="1" si="1"/>
        <v/>
      </c>
    </row>
    <row r="22" spans="1:5" x14ac:dyDescent="0.2">
      <c r="A22" s="27" t="str">
        <f ca="1">'384 Well qPCR Layout'!B7</f>
        <v>2AP7 (1:1000)</v>
      </c>
      <c r="B22" s="61">
        <f ca="1">IF(A22="", "",'Paste Sample Names Here'!$C$3)</f>
        <v>1000</v>
      </c>
      <c r="C22" s="27">
        <f ca="1">IF(A22="", "", OFFSET('Paste qPCR Data Here'!$F$10, 24*Sheet3!B49, 0))</f>
        <v>8.5799999237060547</v>
      </c>
      <c r="D22" s="27">
        <f t="shared" ca="1" si="0"/>
        <v>24.422149733168222</v>
      </c>
      <c r="E22" s="27">
        <f t="shared" ca="1" si="1"/>
        <v>24422.149733168222</v>
      </c>
    </row>
    <row r="23" spans="1:5" x14ac:dyDescent="0.2">
      <c r="A23" s="27" t="str">
        <f ca="1">'384 Well qPCR Layout'!B8</f>
        <v/>
      </c>
      <c r="B23" s="62" t="str">
        <f ca="1">IF(A23="", "", 'Paste Sample Names Here'!$G$3)</f>
        <v/>
      </c>
      <c r="C23" s="27" t="str">
        <f ca="1">IF(A23="", "", OFFSET('Paste qPCR Data Here'!$F$10, 24*Sheet3!B50, 0))</f>
        <v/>
      </c>
      <c r="D23" s="27" t="str">
        <f t="shared" ca="1" si="0"/>
        <v/>
      </c>
      <c r="E23" s="27" t="str">
        <f t="shared" ca="1" si="1"/>
        <v/>
      </c>
    </row>
    <row r="24" spans="1:5" x14ac:dyDescent="0.2">
      <c r="A24" s="27" t="str">
        <f ca="1">'384 Well qPCR Layout'!B9</f>
        <v>2AP8 (1:1000)</v>
      </c>
      <c r="B24" s="61">
        <f ca="1">IF(A24="", "",'Paste Sample Names Here'!$C$3)</f>
        <v>1000</v>
      </c>
      <c r="C24" s="27">
        <f ca="1">IF(A24="", "", OFFSET('Paste qPCR Data Here'!$F$10, 24*Sheet3!B51, 0))</f>
        <v>7.3979997634887695</v>
      </c>
      <c r="D24" s="27">
        <f t="shared" ca="1" si="0"/>
        <v>51.513596440166943</v>
      </c>
      <c r="E24" s="27">
        <f t="shared" ca="1" si="1"/>
        <v>51513.596440166941</v>
      </c>
    </row>
    <row r="25" spans="1:5" x14ac:dyDescent="0.2">
      <c r="A25" s="27" t="str">
        <f ca="1">'384 Well qPCR Layout'!B10</f>
        <v/>
      </c>
      <c r="B25" s="62" t="str">
        <f ca="1">IF(A25="", "", 'Paste Sample Names Here'!$G$3)</f>
        <v/>
      </c>
      <c r="C25" s="27" t="str">
        <f ca="1">IF(A25="", "", OFFSET('Paste qPCR Data Here'!$F$10, 24*Sheet3!B52, 0))</f>
        <v/>
      </c>
      <c r="D25" s="27" t="str">
        <f t="shared" ca="1" si="0"/>
        <v/>
      </c>
      <c r="E25" s="27" t="str">
        <f t="shared" ca="1" si="1"/>
        <v/>
      </c>
    </row>
    <row r="26" spans="1:5" x14ac:dyDescent="0.2">
      <c r="A26" s="27" t="str">
        <f ca="1">'384 Well qPCR Layout'!B11</f>
        <v>2AP9 (1:1000)</v>
      </c>
      <c r="B26" s="61">
        <f ca="1">IF(A26="", "",'Paste Sample Names Here'!$C$3)</f>
        <v>1000</v>
      </c>
      <c r="C26" s="27">
        <f ca="1">IF(A26="", "", OFFSET('Paste qPCR Data Here'!$F$10, 24*Sheet3!B53, 0))</f>
        <v>6.9840002059936523</v>
      </c>
      <c r="D26" s="27">
        <f t="shared" ca="1" si="0"/>
        <v>66.904032812275133</v>
      </c>
      <c r="E26" s="27">
        <f t="shared" ca="1" si="1"/>
        <v>66904.032812275138</v>
      </c>
    </row>
    <row r="27" spans="1:5" x14ac:dyDescent="0.2">
      <c r="A27" s="27" t="str">
        <f ca="1">'384 Well qPCR Layout'!B12</f>
        <v/>
      </c>
      <c r="B27" s="62" t="str">
        <f ca="1">IF(A27="", "", 'Paste Sample Names Here'!$G$3)</f>
        <v/>
      </c>
      <c r="C27" s="27" t="str">
        <f ca="1">IF(A27="", "", OFFSET('Paste qPCR Data Here'!$F$10, 24*Sheet3!B54, 0))</f>
        <v/>
      </c>
      <c r="D27" s="27" t="str">
        <f t="shared" ca="1" si="0"/>
        <v/>
      </c>
      <c r="E27" s="27" t="str">
        <f t="shared" ca="1" si="1"/>
        <v/>
      </c>
    </row>
    <row r="28" spans="1:5" x14ac:dyDescent="0.2">
      <c r="A28" s="27" t="str">
        <f ca="1">'384 Well qPCR Layout'!B13</f>
        <v>2AP10 (1:1000)</v>
      </c>
      <c r="B28" s="61">
        <f ca="1">IF(A28="", "",'Paste Sample Names Here'!$C$3)</f>
        <v>1000</v>
      </c>
      <c r="C28" s="27">
        <f ca="1">IF(A28="", "", OFFSET('Paste qPCR Data Here'!$F$10, 24*Sheet3!B55, 0))</f>
        <v>7.4029998779296875</v>
      </c>
      <c r="D28" s="27">
        <f t="shared" ca="1" si="0"/>
        <v>51.351211972280026</v>
      </c>
      <c r="E28" s="27">
        <f t="shared" ca="1" si="1"/>
        <v>51351.211972280027</v>
      </c>
    </row>
    <row r="29" spans="1:5" x14ac:dyDescent="0.2">
      <c r="A29" s="27" t="str">
        <f ca="1">'384 Well qPCR Layout'!B14</f>
        <v/>
      </c>
      <c r="B29" s="62" t="str">
        <f ca="1">IF(A29="", "", 'Paste Sample Names Here'!$G$3)</f>
        <v/>
      </c>
      <c r="C29" s="27" t="str">
        <f ca="1">IF(A29="", "", OFFSET('Paste qPCR Data Here'!$F$10, 24*Sheet3!B56, 0))</f>
        <v/>
      </c>
      <c r="D29" s="27" t="str">
        <f t="shared" ca="1" si="0"/>
        <v/>
      </c>
      <c r="E29" s="27" t="str">
        <f t="shared" ca="1" si="1"/>
        <v/>
      </c>
    </row>
    <row r="30" spans="1:5" x14ac:dyDescent="0.2">
      <c r="A30" s="27" t="str">
        <f ca="1">'384 Well qPCR Layout'!B15</f>
        <v>2AP11 (1:1000)</v>
      </c>
      <c r="B30" s="61">
        <f ca="1">IF(A30="", "",'Paste Sample Names Here'!$C$3)</f>
        <v>1000</v>
      </c>
      <c r="C30" s="27">
        <f ca="1">IF(A30="", "", OFFSET('Paste qPCR Data Here'!$F$10, 24*Sheet3!B57, 0))</f>
        <v>7.630000114440918</v>
      </c>
      <c r="D30" s="27">
        <f t="shared" ca="1" si="0"/>
        <v>44.493932579614203</v>
      </c>
      <c r="E30" s="27">
        <f t="shared" ca="1" si="1"/>
        <v>44493.9325796142</v>
      </c>
    </row>
    <row r="31" spans="1:5" x14ac:dyDescent="0.2">
      <c r="A31" s="27" t="str">
        <f ca="1">'384 Well qPCR Layout'!B16</f>
        <v/>
      </c>
      <c r="B31" s="62" t="str">
        <f ca="1">IF(A31="", "", 'Paste Sample Names Here'!$G$3)</f>
        <v/>
      </c>
      <c r="C31" s="27" t="str">
        <f ca="1">IF(A31="", "", OFFSET('Paste qPCR Data Here'!$F$10, 24*Sheet3!B58, 0))</f>
        <v/>
      </c>
      <c r="D31" s="27" t="str">
        <f t="shared" ca="1" si="0"/>
        <v/>
      </c>
      <c r="E31" s="27" t="str">
        <f t="shared" ca="1" si="1"/>
        <v/>
      </c>
    </row>
    <row r="32" spans="1:5" x14ac:dyDescent="0.2">
      <c r="A32" s="27" t="str">
        <f ca="1">'384 Well qPCR Layout'!B17</f>
        <v>2AP12 (1:1000)</v>
      </c>
      <c r="B32" s="61">
        <f ca="1">IF(A32="", "",'Paste Sample Names Here'!$C$3)</f>
        <v>1000</v>
      </c>
      <c r="C32" s="27">
        <f ca="1">IF(A32="", "", OFFSET('Paste qPCR Data Here'!$F$10, 24*Sheet3!B59, 0))</f>
        <v>7.4939999580383301</v>
      </c>
      <c r="D32" s="27">
        <f t="shared" ca="1" si="0"/>
        <v>48.483715497770326</v>
      </c>
      <c r="E32" s="27">
        <f t="shared" ca="1" si="1"/>
        <v>48483.715497770325</v>
      </c>
    </row>
    <row r="33" spans="1:5" x14ac:dyDescent="0.2">
      <c r="A33" s="27" t="str">
        <f ca="1">'384 Well qPCR Layout'!B18</f>
        <v/>
      </c>
      <c r="B33" s="62" t="str">
        <f ca="1">IF(A33="", "", 'Paste Sample Names Here'!$G$3)</f>
        <v/>
      </c>
      <c r="C33" s="27" t="str">
        <f ca="1">IF(A33="", "", OFFSET('Paste qPCR Data Here'!$F$10, 24*Sheet3!B60, 0))</f>
        <v/>
      </c>
      <c r="D33" s="27" t="str">
        <f t="shared" ca="1" si="0"/>
        <v/>
      </c>
      <c r="E33" s="27" t="str">
        <f t="shared" ca="1" si="1"/>
        <v/>
      </c>
    </row>
    <row r="34" spans="1:5" x14ac:dyDescent="0.2">
      <c r="A34" s="27" t="str">
        <f ca="1">'384 Well qPCR Layout'!D3</f>
        <v>2AP13 (1:1000)</v>
      </c>
      <c r="B34" s="61">
        <f ca="1">IF(A34="", "",'Paste Sample Names Here'!$C$3)</f>
        <v>1000</v>
      </c>
      <c r="C34" s="27">
        <f ca="1">IF(A34="", "", OFFSET('Paste qPCR Data Here'!$F$12, 24*Sheet3!B45, 0))</f>
        <v>6.4580001831054688</v>
      </c>
      <c r="D34" s="27">
        <f t="shared" ca="1" si="0"/>
        <v>93.260218293368936</v>
      </c>
      <c r="E34" s="27">
        <f t="shared" ca="1" si="1"/>
        <v>93260.218293368933</v>
      </c>
    </row>
    <row r="35" spans="1:5" x14ac:dyDescent="0.2">
      <c r="A35" s="27" t="str">
        <f ca="1">'384 Well qPCR Layout'!D4</f>
        <v/>
      </c>
      <c r="B35" s="62" t="str">
        <f ca="1">IF(A35="", "", 'Paste Sample Names Here'!$G$3)</f>
        <v/>
      </c>
      <c r="C35" s="27" t="str">
        <f ca="1">IF(A35="", "", OFFSET('Paste qPCR Data Here'!$F$12, 24*Sheet3!B46, 0))</f>
        <v/>
      </c>
      <c r="D35" s="27" t="str">
        <f t="shared" ca="1" si="0"/>
        <v/>
      </c>
      <c r="E35" s="27" t="str">
        <f t="shared" ca="1" si="1"/>
        <v/>
      </c>
    </row>
    <row r="36" spans="1:5" x14ac:dyDescent="0.2">
      <c r="A36" s="27" t="str">
        <f ca="1">'384 Well qPCR Layout'!D5</f>
        <v>2AP14 (1:1000)</v>
      </c>
      <c r="B36" s="61">
        <f ca="1">IF(A36="", "",'Paste Sample Names Here'!$C$3)</f>
        <v>1000</v>
      </c>
      <c r="C36" s="27">
        <f ca="1">IF(A36="", "", OFFSET('Paste qPCR Data Here'!$F$12, 24*Sheet3!B47, 0))</f>
        <v>7.1729998588562012</v>
      </c>
      <c r="D36" s="27">
        <f t="shared" ca="1" si="0"/>
        <v>59.377680607758279</v>
      </c>
      <c r="E36" s="27">
        <f t="shared" ca="1" si="1"/>
        <v>59377.680607758281</v>
      </c>
    </row>
    <row r="37" spans="1:5" x14ac:dyDescent="0.2">
      <c r="A37" s="27" t="str">
        <f ca="1">'384 Well qPCR Layout'!D6</f>
        <v/>
      </c>
      <c r="B37" s="62" t="str">
        <f ca="1">IF(A37="", "", 'Paste Sample Names Here'!$G$3)</f>
        <v/>
      </c>
      <c r="C37" s="27" t="str">
        <f ca="1">IF(A37="", "", OFFSET('Paste qPCR Data Here'!$F$12, 24*Sheet3!B48, 0))</f>
        <v/>
      </c>
      <c r="D37" s="27" t="str">
        <f t="shared" ca="1" si="0"/>
        <v/>
      </c>
      <c r="E37" s="27" t="str">
        <f t="shared" ca="1" si="1"/>
        <v/>
      </c>
    </row>
    <row r="38" spans="1:5" x14ac:dyDescent="0.2">
      <c r="A38" s="27" t="str">
        <f ca="1">'384 Well qPCR Layout'!D7</f>
        <v>2AP15 (1:1000)</v>
      </c>
      <c r="B38" s="61">
        <f ca="1">IF(A38="", "",'Paste Sample Names Here'!$C$3)</f>
        <v>1000</v>
      </c>
      <c r="C38" s="27">
        <f ca="1">IF(A38="", "", OFFSET('Paste qPCR Data Here'!$F$12, 24*Sheet3!B49, 0))</f>
        <v>8.0200004577636719</v>
      </c>
      <c r="D38" s="27">
        <f t="shared" ca="1" si="0"/>
        <v>34.781766279523872</v>
      </c>
      <c r="E38" s="27">
        <f t="shared" ca="1" si="1"/>
        <v>34781.766279523872</v>
      </c>
    </row>
    <row r="39" spans="1:5" x14ac:dyDescent="0.2">
      <c r="A39" s="27" t="str">
        <f ca="1">'384 Well qPCR Layout'!D8</f>
        <v/>
      </c>
      <c r="B39" s="62" t="str">
        <f ca="1">IF(A39="", "", 'Paste Sample Names Here'!$G$3)</f>
        <v/>
      </c>
      <c r="C39" s="27" t="str">
        <f ca="1">IF(A39="", "", OFFSET('Paste qPCR Data Here'!$F$12, 24*Sheet3!B50, 0))</f>
        <v/>
      </c>
      <c r="D39" s="27" t="str">
        <f t="shared" ca="1" si="0"/>
        <v/>
      </c>
      <c r="E39" s="27" t="str">
        <f t="shared" ca="1" si="1"/>
        <v/>
      </c>
    </row>
    <row r="40" spans="1:5" x14ac:dyDescent="0.2">
      <c r="A40" s="27" t="str">
        <f ca="1">'384 Well qPCR Layout'!D9</f>
        <v>2AP16 (1:1000)</v>
      </c>
      <c r="B40" s="61">
        <f ca="1">IF(A40="", "",'Paste Sample Names Here'!$C$3)</f>
        <v>1000</v>
      </c>
      <c r="C40" s="27">
        <f ca="1">IF(A40="", "", OFFSET('Paste qPCR Data Here'!$F$12, 24*Sheet3!B51, 0))</f>
        <v>9</v>
      </c>
      <c r="D40" s="27">
        <f t="shared" ca="1" si="0"/>
        <v>18.733026680769292</v>
      </c>
      <c r="E40" s="27">
        <f t="shared" ca="1" si="1"/>
        <v>18733.026680769293</v>
      </c>
    </row>
    <row r="41" spans="1:5" x14ac:dyDescent="0.2">
      <c r="A41" s="27" t="str">
        <f ca="1">'384 Well qPCR Layout'!D10</f>
        <v/>
      </c>
      <c r="B41" s="62" t="str">
        <f ca="1">IF(A41="", "", 'Paste Sample Names Here'!$G$3)</f>
        <v/>
      </c>
      <c r="C41" s="27" t="str">
        <f ca="1">IF(A41="", "", OFFSET('Paste qPCR Data Here'!$F$12, 24*Sheet3!B52, 0))</f>
        <v/>
      </c>
      <c r="D41" s="27" t="str">
        <f t="shared" ca="1" si="0"/>
        <v/>
      </c>
      <c r="E41" s="27" t="str">
        <f t="shared" ca="1" si="1"/>
        <v/>
      </c>
    </row>
    <row r="42" spans="1:5" x14ac:dyDescent="0.2">
      <c r="A42" s="27" t="str">
        <f ca="1">'384 Well qPCR Layout'!D11</f>
        <v>2AP17 (1:1000)</v>
      </c>
      <c r="B42" s="61">
        <f ca="1">IF(A42="", "",'Paste Sample Names Here'!$C$3)</f>
        <v>1000</v>
      </c>
      <c r="C42" s="27">
        <f ca="1">IF(A42="", "", OFFSET('Paste qPCR Data Here'!$F$12, 24*Sheet3!B53, 0))</f>
        <v>10.081000328063965</v>
      </c>
      <c r="D42" s="27">
        <f t="shared" ca="1" si="0"/>
        <v>9.4660106691115651</v>
      </c>
      <c r="E42" s="27">
        <f t="shared" ca="1" si="1"/>
        <v>9466.0106691115652</v>
      </c>
    </row>
    <row r="43" spans="1:5" x14ac:dyDescent="0.2">
      <c r="A43" s="27" t="str">
        <f ca="1">'384 Well qPCR Layout'!D12</f>
        <v/>
      </c>
      <c r="B43" s="62" t="str">
        <f ca="1">IF(A43="", "", 'Paste Sample Names Here'!$G$3)</f>
        <v/>
      </c>
      <c r="C43" s="27" t="str">
        <f ca="1">IF(A43="", "", OFFSET('Paste qPCR Data Here'!$F$12, 24*Sheet3!B54, 0))</f>
        <v/>
      </c>
      <c r="D43" s="27" t="str">
        <f t="shared" ca="1" si="0"/>
        <v/>
      </c>
      <c r="E43" s="27" t="str">
        <f t="shared" ca="1" si="1"/>
        <v/>
      </c>
    </row>
    <row r="44" spans="1:5" x14ac:dyDescent="0.2">
      <c r="A44" s="27" t="str">
        <f ca="1">'384 Well qPCR Layout'!D13</f>
        <v>2AP18 (1:1000)</v>
      </c>
      <c r="B44" s="61">
        <f ca="1">IF(A44="", "",'Paste Sample Names Here'!$C$3)</f>
        <v>1000</v>
      </c>
      <c r="C44" s="27">
        <f ca="1">IF(A44="", "", OFFSET('Paste qPCR Data Here'!$F$12, 24*Sheet3!B55, 0))</f>
        <v>10.96399974822998</v>
      </c>
      <c r="D44" s="27">
        <f t="shared" ca="1" si="0"/>
        <v>5.4203021248258123</v>
      </c>
      <c r="E44" s="27">
        <f t="shared" ca="1" si="1"/>
        <v>5420.3021248258119</v>
      </c>
    </row>
    <row r="45" spans="1:5" x14ac:dyDescent="0.2">
      <c r="A45" s="27" t="str">
        <f ca="1">'384 Well qPCR Layout'!D14</f>
        <v/>
      </c>
      <c r="B45" s="62" t="str">
        <f ca="1">IF(A45="", "", 'Paste Sample Names Here'!$G$3)</f>
        <v/>
      </c>
      <c r="C45" s="27" t="str">
        <f ca="1">IF(A45="", "", OFFSET('Paste qPCR Data Here'!$F$12, 24*Sheet3!B56, 0))</f>
        <v/>
      </c>
      <c r="D45" s="27" t="str">
        <f t="shared" ca="1" si="0"/>
        <v/>
      </c>
      <c r="E45" s="27" t="str">
        <f t="shared" ca="1" si="1"/>
        <v/>
      </c>
    </row>
    <row r="46" spans="1:5" x14ac:dyDescent="0.2">
      <c r="A46" s="27" t="str">
        <f ca="1">'384 Well qPCR Layout'!D15</f>
        <v>2AP19 (1:1000)</v>
      </c>
      <c r="B46" s="61">
        <f ca="1">IF(A46="", "",'Paste Sample Names Here'!$C$3)</f>
        <v>1000</v>
      </c>
      <c r="C46" s="27">
        <f ca="1">IF(A46="", "", OFFSET('Paste qPCR Data Here'!$F$12, 24*Sheet3!B57, 0))</f>
        <v>8.2290000915527344</v>
      </c>
      <c r="D46" s="27">
        <f t="shared" ca="1" si="0"/>
        <v>30.481617061498923</v>
      </c>
      <c r="E46" s="27">
        <f t="shared" ca="1" si="1"/>
        <v>30481.617061498924</v>
      </c>
    </row>
    <row r="47" spans="1:5" x14ac:dyDescent="0.2">
      <c r="A47" s="27" t="str">
        <f ca="1">'384 Well qPCR Layout'!D16</f>
        <v/>
      </c>
      <c r="B47" s="62" t="str">
        <f ca="1">IF(A47="", "", 'Paste Sample Names Here'!$G$3)</f>
        <v/>
      </c>
      <c r="C47" s="27" t="str">
        <f ca="1">IF(A47="", "", OFFSET('Paste qPCR Data Here'!$F$12, 24*Sheet3!B58, 0))</f>
        <v/>
      </c>
      <c r="D47" s="27" t="str">
        <f t="shared" ca="1" si="0"/>
        <v/>
      </c>
      <c r="E47" s="27" t="str">
        <f t="shared" ca="1" si="1"/>
        <v/>
      </c>
    </row>
    <row r="48" spans="1:5" x14ac:dyDescent="0.2">
      <c r="A48" s="27" t="str">
        <f ca="1">'384 Well qPCR Layout'!D17</f>
        <v>2AP20 (1:1000)</v>
      </c>
      <c r="B48" s="61">
        <f ca="1">IF(A48="", "",'Paste Sample Names Here'!$C$3)</f>
        <v>1000</v>
      </c>
      <c r="C48" s="27">
        <f ca="1">IF(A48="", "", OFFSET('Paste qPCR Data Here'!$F$12, 24*Sheet3!B59, 0))</f>
        <v>7.9710001945495605</v>
      </c>
      <c r="D48" s="27">
        <f t="shared" ca="1" si="0"/>
        <v>35.874750964459587</v>
      </c>
      <c r="E48" s="27">
        <f t="shared" ca="1" si="1"/>
        <v>35874.750964459585</v>
      </c>
    </row>
    <row r="49" spans="1:5" x14ac:dyDescent="0.2">
      <c r="A49" s="27" t="str">
        <f ca="1">'384 Well qPCR Layout'!D18</f>
        <v/>
      </c>
      <c r="B49" s="62" t="str">
        <f ca="1">IF(A49="", "", 'Paste Sample Names Here'!$G$3)</f>
        <v/>
      </c>
      <c r="C49" s="27" t="str">
        <f ca="1">IF(A49="", "", OFFSET('Paste qPCR Data Here'!$F$12, 24*Sheet3!B60, 0))</f>
        <v/>
      </c>
      <c r="D49" s="27" t="str">
        <f t="shared" ca="1" si="0"/>
        <v/>
      </c>
      <c r="E49" s="27" t="str">
        <f t="shared" ca="1" si="1"/>
        <v/>
      </c>
    </row>
    <row r="50" spans="1:5" x14ac:dyDescent="0.2">
      <c r="A50" s="27" t="str">
        <f ca="1">'384 Well qPCR Layout'!F3</f>
        <v>2AP21 (1:1000)</v>
      </c>
      <c r="B50" s="61">
        <f ca="1">IF(A50="", "",'Paste Sample Names Here'!$C$3)</f>
        <v>1000</v>
      </c>
      <c r="C50" s="27">
        <f ca="1">IF(A50="", "", OFFSET('Paste qPCR Data Here'!$F$14, 24*Sheet3!B45, 0))</f>
        <v>7.6579999923706055</v>
      </c>
      <c r="D50" s="27">
        <f t="shared" ca="1" si="0"/>
        <v>43.714189582139582</v>
      </c>
      <c r="E50" s="27">
        <f t="shared" ca="1" si="1"/>
        <v>43714.189582139581</v>
      </c>
    </row>
    <row r="51" spans="1:5" x14ac:dyDescent="0.2">
      <c r="A51" s="27" t="str">
        <f ca="1">'384 Well qPCR Layout'!F4</f>
        <v/>
      </c>
      <c r="B51" s="62" t="str">
        <f ca="1">IF(A51="", "", 'Paste Sample Names Here'!$G$3)</f>
        <v/>
      </c>
      <c r="C51" s="27" t="str">
        <f ca="1">IF(A51="", "", OFFSET('Paste qPCR Data Here'!$F$14, 24*Sheet3!B46, 0))</f>
        <v/>
      </c>
      <c r="D51" s="27" t="str">
        <f t="shared" ca="1" si="0"/>
        <v/>
      </c>
      <c r="E51" s="27" t="str">
        <f t="shared" ca="1" si="1"/>
        <v/>
      </c>
    </row>
    <row r="52" spans="1:5" x14ac:dyDescent="0.2">
      <c r="A52" s="27" t="str">
        <f ca="1">'384 Well qPCR Layout'!F5</f>
        <v>2AP22 (1:1000)</v>
      </c>
      <c r="B52" s="61">
        <f ca="1">IF(A52="", "",'Paste Sample Names Here'!$C$3)</f>
        <v>1000</v>
      </c>
      <c r="C52" s="27">
        <f ca="1">IF(A52="", "", OFFSET('Paste qPCR Data Here'!$F$14, 24*Sheet3!B47, 0))</f>
        <v>7.4219999313354492</v>
      </c>
      <c r="D52" s="27">
        <f t="shared" ca="1" si="0"/>
        <v>50.73881783483565</v>
      </c>
      <c r="E52" s="27">
        <f t="shared" ca="1" si="1"/>
        <v>50738.817834835652</v>
      </c>
    </row>
    <row r="53" spans="1:5" x14ac:dyDescent="0.2">
      <c r="A53" s="27" t="str">
        <f ca="1">'384 Well qPCR Layout'!F6</f>
        <v/>
      </c>
      <c r="B53" s="62" t="str">
        <f ca="1">IF(A53="", "", 'Paste Sample Names Here'!$G$3)</f>
        <v/>
      </c>
      <c r="C53" s="27" t="str">
        <f ca="1">IF(A53="", "", OFFSET('Paste qPCR Data Here'!$F$14, 24*Sheet3!B48, 0))</f>
        <v/>
      </c>
      <c r="D53" s="27" t="str">
        <f t="shared" ca="1" si="0"/>
        <v/>
      </c>
      <c r="E53" s="27" t="str">
        <f t="shared" ca="1" si="1"/>
        <v/>
      </c>
    </row>
    <row r="54" spans="1:5" x14ac:dyDescent="0.2">
      <c r="A54" s="27" t="str">
        <f ca="1">'384 Well qPCR Layout'!F7</f>
        <v>2AP23 (1:1000)</v>
      </c>
      <c r="B54" s="61">
        <f ca="1">IF(A54="", "",'Paste Sample Names Here'!$C$3)</f>
        <v>1000</v>
      </c>
      <c r="C54" s="27">
        <f ca="1">IF(A54="", "", OFFSET('Paste qPCR Data Here'!$F$14, 24*Sheet3!B49, 0))</f>
        <v>10.314000129699707</v>
      </c>
      <c r="D54" s="27">
        <f t="shared" ca="1" si="0"/>
        <v>8.170936453144181</v>
      </c>
      <c r="E54" s="27">
        <f t="shared" ca="1" si="1"/>
        <v>8170.9364531441806</v>
      </c>
    </row>
    <row r="55" spans="1:5" x14ac:dyDescent="0.2">
      <c r="A55" s="27" t="str">
        <f ca="1">'384 Well qPCR Layout'!F8</f>
        <v/>
      </c>
      <c r="B55" s="62" t="str">
        <f ca="1">IF(A55="", "", 'Paste Sample Names Here'!$G$3)</f>
        <v/>
      </c>
      <c r="C55" s="27" t="str">
        <f ca="1">IF(A55="", "", OFFSET('Paste qPCR Data Here'!$F$14, 24*Sheet3!B50, 0))</f>
        <v/>
      </c>
      <c r="D55" s="27" t="str">
        <f t="shared" ca="1" si="0"/>
        <v/>
      </c>
      <c r="E55" s="27" t="str">
        <f t="shared" ca="1" si="1"/>
        <v/>
      </c>
    </row>
    <row r="56" spans="1:5" x14ac:dyDescent="0.2">
      <c r="A56" s="27" t="str">
        <f ca="1">'384 Well qPCR Layout'!F9</f>
        <v>2AP24 (1:1000)</v>
      </c>
      <c r="B56" s="61">
        <f ca="1">IF(A56="", "",'Paste Sample Names Here'!$C$3)</f>
        <v>1000</v>
      </c>
      <c r="C56" s="27">
        <f ca="1">IF(A56="", "", OFFSET('Paste qPCR Data Here'!$F$14, 24*Sheet3!B51, 0))</f>
        <v>7.5</v>
      </c>
      <c r="D56" s="27">
        <f t="shared" ca="1" si="0"/>
        <v>48.3003760885316</v>
      </c>
      <c r="E56" s="27">
        <f t="shared" ca="1" si="1"/>
        <v>48300.376088531601</v>
      </c>
    </row>
    <row r="57" spans="1:5" x14ac:dyDescent="0.2">
      <c r="A57" s="27" t="str">
        <f ca="1">'384 Well qPCR Layout'!F10</f>
        <v/>
      </c>
      <c r="B57" s="62" t="str">
        <f ca="1">IF(A57="", "", 'Paste Sample Names Here'!$G$3)</f>
        <v/>
      </c>
      <c r="C57" s="27" t="str">
        <f ca="1">IF(A57="", "", OFFSET('Paste qPCR Data Here'!$F$14, 24*Sheet3!B52, 0))</f>
        <v/>
      </c>
      <c r="D57" s="27" t="str">
        <f t="shared" ca="1" si="0"/>
        <v/>
      </c>
      <c r="E57" s="27" t="str">
        <f t="shared" ca="1" si="1"/>
        <v/>
      </c>
    </row>
    <row r="58" spans="1:5" x14ac:dyDescent="0.2">
      <c r="A58" s="27" t="str">
        <f ca="1">'384 Well qPCR Layout'!F11</f>
        <v>2AP25 (1:1000)</v>
      </c>
      <c r="B58" s="61">
        <f ca="1">IF(A58="", "",'Paste Sample Names Here'!$C$3)</f>
        <v>1000</v>
      </c>
      <c r="C58" s="27">
        <f ca="1">IF(A58="", "", OFFSET('Paste qPCR Data Here'!$F$14, 24*Sheet3!B53, 0))</f>
        <v>6.9899997711181641</v>
      </c>
      <c r="D58" s="27">
        <f t="shared" ca="1" si="0"/>
        <v>66.651057710181647</v>
      </c>
      <c r="E58" s="27">
        <f t="shared" ca="1" si="1"/>
        <v>66651.057710181645</v>
      </c>
    </row>
    <row r="59" spans="1:5" x14ac:dyDescent="0.2">
      <c r="A59" s="27" t="str">
        <f ca="1">'384 Well qPCR Layout'!F12</f>
        <v/>
      </c>
      <c r="B59" s="62" t="str">
        <f ca="1">IF(A59="", "", 'Paste Sample Names Here'!$G$3)</f>
        <v/>
      </c>
      <c r="C59" s="27" t="str">
        <f ca="1">IF(A59="", "", OFFSET('Paste qPCR Data Here'!$F$14, 24*Sheet3!B54, 0))</f>
        <v/>
      </c>
      <c r="D59" s="27" t="str">
        <f t="shared" ca="1" si="0"/>
        <v/>
      </c>
      <c r="E59" s="27" t="str">
        <f t="shared" ca="1" si="1"/>
        <v/>
      </c>
    </row>
    <row r="60" spans="1:5" x14ac:dyDescent="0.2">
      <c r="A60" s="27" t="str">
        <f ca="1">'384 Well qPCR Layout'!F13</f>
        <v>2AP26 (1:1000)</v>
      </c>
      <c r="B60" s="61">
        <f ca="1">IF(A60="", "",'Paste Sample Names Here'!$C$3)</f>
        <v>1000</v>
      </c>
      <c r="C60" s="27">
        <f ca="1">IF(A60="", "", OFFSET('Paste qPCR Data Here'!$F$14, 24*Sheet3!B55, 0))</f>
        <v>7.750999927520752</v>
      </c>
      <c r="D60" s="27">
        <f t="shared" ca="1" si="0"/>
        <v>41.221065216006629</v>
      </c>
      <c r="E60" s="27">
        <f t="shared" ca="1" si="1"/>
        <v>41221.065216006631</v>
      </c>
    </row>
    <row r="61" spans="1:5" x14ac:dyDescent="0.2">
      <c r="A61" s="27" t="str">
        <f ca="1">'384 Well qPCR Layout'!F14</f>
        <v/>
      </c>
      <c r="B61" s="62" t="str">
        <f ca="1">IF(A61="", "", 'Paste Sample Names Here'!$G$3)</f>
        <v/>
      </c>
      <c r="C61" s="27" t="str">
        <f ca="1">IF(A61="", "", OFFSET('Paste qPCR Data Here'!$F$14, 24*Sheet3!B56, 0))</f>
        <v/>
      </c>
      <c r="D61" s="27" t="str">
        <f t="shared" ca="1" si="0"/>
        <v/>
      </c>
      <c r="E61" s="27" t="str">
        <f t="shared" ca="1" si="1"/>
        <v/>
      </c>
    </row>
    <row r="62" spans="1:5" x14ac:dyDescent="0.2">
      <c r="A62" s="27" t="str">
        <f ca="1">'384 Well qPCR Layout'!F15</f>
        <v>2AP27 (1:1000)</v>
      </c>
      <c r="B62" s="61">
        <f ca="1">IF(A62="", "",'Paste Sample Names Here'!$C$3)</f>
        <v>1000</v>
      </c>
      <c r="C62" s="27">
        <f ca="1">IF(A62="", "", OFFSET('Paste qPCR Data Here'!$F$14, 24*Sheet3!B57, 0))</f>
        <v>7.2420001029968262</v>
      </c>
      <c r="D62" s="27">
        <f t="shared" ca="1" si="0"/>
        <v>56.846195533846824</v>
      </c>
      <c r="E62" s="27">
        <f t="shared" ca="1" si="1"/>
        <v>56846.195533846825</v>
      </c>
    </row>
    <row r="63" spans="1:5" x14ac:dyDescent="0.2">
      <c r="A63" s="27" t="str">
        <f ca="1">'384 Well qPCR Layout'!F16</f>
        <v/>
      </c>
      <c r="B63" s="62" t="str">
        <f ca="1">IF(A63="", "", 'Paste Sample Names Here'!$G$3)</f>
        <v/>
      </c>
      <c r="C63" s="27" t="str">
        <f ca="1">IF(A63="", "", OFFSET('Paste qPCR Data Here'!$F$14, 24*Sheet3!B58, 0))</f>
        <v/>
      </c>
      <c r="D63" s="27" t="str">
        <f t="shared" ca="1" si="0"/>
        <v/>
      </c>
      <c r="E63" s="27" t="str">
        <f t="shared" ca="1" si="1"/>
        <v/>
      </c>
    </row>
    <row r="64" spans="1:5" x14ac:dyDescent="0.2">
      <c r="A64" s="27" t="str">
        <f ca="1">'384 Well qPCR Layout'!F17</f>
        <v>2AP28 (1:1000)</v>
      </c>
      <c r="B64" s="61">
        <f ca="1">IF(A64="", "",'Paste Sample Names Here'!$C$3)</f>
        <v>1000</v>
      </c>
      <c r="C64" s="27">
        <f ca="1">IF(A64="", "", OFFSET('Paste qPCR Data Here'!$F$14, 24*Sheet3!B59, 0))</f>
        <v>7.4219999313354492</v>
      </c>
      <c r="D64" s="27">
        <f t="shared" ca="1" si="0"/>
        <v>50.73881783483565</v>
      </c>
      <c r="E64" s="27">
        <f t="shared" ca="1" si="1"/>
        <v>50738.817834835652</v>
      </c>
    </row>
    <row r="65" spans="1:5" x14ac:dyDescent="0.2">
      <c r="A65" s="27" t="str">
        <f ca="1">'384 Well qPCR Layout'!F18</f>
        <v/>
      </c>
      <c r="B65" s="62" t="str">
        <f ca="1">IF(A65="", "", 'Paste Sample Names Here'!$G$3)</f>
        <v/>
      </c>
      <c r="C65" s="27" t="str">
        <f ca="1">IF(A65="", "", OFFSET('Paste qPCR Data Here'!$F$14, 24*Sheet3!B60, 0))</f>
        <v/>
      </c>
      <c r="D65" s="27" t="str">
        <f t="shared" ca="1" si="0"/>
        <v/>
      </c>
      <c r="E65" s="27" t="str">
        <f t="shared" ca="1" si="1"/>
        <v/>
      </c>
    </row>
    <row r="66" spans="1:5" x14ac:dyDescent="0.2">
      <c r="A66" s="27" t="str">
        <f ca="1">'384 Well qPCR Layout'!H3</f>
        <v>2AP29 (1:1000)</v>
      </c>
      <c r="B66" s="61">
        <f ca="1">IF(A66="", "",'Paste Sample Names Here'!$C$3)</f>
        <v>1000</v>
      </c>
      <c r="C66" s="27">
        <f ca="1">IF(A66="", "", OFFSET('Paste qPCR Data Here'!$F$16, 24*Sheet3!B45, 0))</f>
        <v>7.4479999542236328</v>
      </c>
      <c r="D66" s="27">
        <f t="shared" ca="1" si="0"/>
        <v>49.91262379646821</v>
      </c>
      <c r="E66" s="27">
        <f t="shared" ca="1" si="1"/>
        <v>49912.623796468208</v>
      </c>
    </row>
    <row r="67" spans="1:5" x14ac:dyDescent="0.2">
      <c r="A67" s="27" t="str">
        <f ca="1">'384 Well qPCR Layout'!H4</f>
        <v/>
      </c>
      <c r="B67" s="62" t="str">
        <f ca="1">IF(A67="", "", 'Paste Sample Names Here'!$G$3)</f>
        <v/>
      </c>
      <c r="C67" s="27" t="str">
        <f ca="1">IF(A67="", "", OFFSET('Paste qPCR Data Here'!$F$16, 24*Sheet3!B46, 0))</f>
        <v/>
      </c>
      <c r="D67" s="27" t="str">
        <f t="shared" ca="1" si="0"/>
        <v/>
      </c>
      <c r="E67" s="27" t="str">
        <f t="shared" ca="1" si="1"/>
        <v/>
      </c>
    </row>
    <row r="68" spans="1:5" x14ac:dyDescent="0.2">
      <c r="A68" s="27" t="str">
        <f ca="1">'384 Well qPCR Layout'!H5</f>
        <v>2AP30 (1:1000)</v>
      </c>
      <c r="B68" s="61">
        <f ca="1">IF(A68="", "",'Paste Sample Names Here'!$C$3)</f>
        <v>1000</v>
      </c>
      <c r="C68" s="27">
        <f ca="1">IF(A68="", "", OFFSET('Paste qPCR Data Here'!$F$16, 24*Sheet3!B47, 0))</f>
        <v>7.4580001831054688</v>
      </c>
      <c r="D68" s="27">
        <f t="shared" ca="1" si="0"/>
        <v>49.598444208573888</v>
      </c>
      <c r="E68" s="27">
        <f t="shared" ca="1" si="1"/>
        <v>49598.444208573885</v>
      </c>
    </row>
    <row r="69" spans="1:5" x14ac:dyDescent="0.2">
      <c r="A69" s="27" t="str">
        <f ca="1">'384 Well qPCR Layout'!H6</f>
        <v/>
      </c>
      <c r="B69" s="62" t="str">
        <f ca="1">IF(A69="", "", 'Paste Sample Names Here'!$G$3)</f>
        <v/>
      </c>
      <c r="C69" s="27" t="str">
        <f ca="1">IF(A69="", "", OFFSET('Paste qPCR Data Here'!$F$16, 24*Sheet3!B48, 0))</f>
        <v/>
      </c>
      <c r="D69" s="27" t="str">
        <f t="shared" ca="1" si="0"/>
        <v/>
      </c>
      <c r="E69" s="27" t="str">
        <f t="shared" ca="1" si="1"/>
        <v/>
      </c>
    </row>
    <row r="70" spans="1:5" x14ac:dyDescent="0.2">
      <c r="A70" s="27" t="str">
        <f ca="1">'384 Well qPCR Layout'!H7</f>
        <v>L0P5 (1:1000)</v>
      </c>
      <c r="B70" s="61">
        <f ca="1">IF(A70="", "",'Paste Sample Names Here'!$C$3)</f>
        <v>1000</v>
      </c>
      <c r="C70" s="27">
        <f ca="1">IF(A70="", "", OFFSET('Paste qPCR Data Here'!$F$16, 24*Sheet3!B49, 0))</f>
        <v>8.4659996032714844</v>
      </c>
      <c r="D70" s="27">
        <f t="shared" ca="1" si="0"/>
        <v>26.244965854660137</v>
      </c>
      <c r="E70" s="27">
        <f t="shared" ca="1" si="1"/>
        <v>26244.965854660139</v>
      </c>
    </row>
    <row r="71" spans="1:5" x14ac:dyDescent="0.2">
      <c r="A71" s="27" t="str">
        <f ca="1">'384 Well qPCR Layout'!H8</f>
        <v/>
      </c>
      <c r="B71" s="62" t="str">
        <f ca="1">IF(A71="", "", 'Paste Sample Names Here'!$G$3)</f>
        <v/>
      </c>
      <c r="C71" s="27" t="str">
        <f ca="1">IF(A71="", "", OFFSET('Paste qPCR Data Here'!$F$16, 24*Sheet3!B50, 0))</f>
        <v/>
      </c>
      <c r="D71" s="27" t="str">
        <f t="shared" ca="1" si="0"/>
        <v/>
      </c>
      <c r="E71" s="27" t="str">
        <f t="shared" ca="1" si="1"/>
        <v/>
      </c>
    </row>
    <row r="72" spans="1:5" x14ac:dyDescent="0.2">
      <c r="A72" s="27" t="str">
        <f ca="1">'384 Well qPCR Layout'!H9</f>
        <v>L0P6 (1:1000)</v>
      </c>
      <c r="B72" s="61">
        <f ca="1">IF(A72="", "",'Paste Sample Names Here'!$C$3)</f>
        <v>1000</v>
      </c>
      <c r="C72" s="27">
        <f ca="1">IF(A72="", "", OFFSET('Paste qPCR Data Here'!$F$16, 24*Sheet3!B51, 0))</f>
        <v>8.8760004043579102</v>
      </c>
      <c r="D72" s="27">
        <f t="shared" ca="1" si="0"/>
        <v>20.258727329704339</v>
      </c>
      <c r="E72" s="27">
        <f t="shared" ca="1" si="1"/>
        <v>20258.727329704339</v>
      </c>
    </row>
    <row r="73" spans="1:5" x14ac:dyDescent="0.2">
      <c r="A73" s="27" t="str">
        <f ca="1">'384 Well qPCR Layout'!H10</f>
        <v/>
      </c>
      <c r="B73" s="62" t="str">
        <f ca="1">IF(A73="", "", 'Paste Sample Names Here'!$G$3)</f>
        <v/>
      </c>
      <c r="C73" s="27" t="str">
        <f ca="1">IF(A73="", "", OFFSET('Paste qPCR Data Here'!$F$16, 24*Sheet3!B52, 0))</f>
        <v/>
      </c>
      <c r="D73" s="27" t="str">
        <f t="shared" ca="1" si="0"/>
        <v/>
      </c>
      <c r="E73" s="27" t="str">
        <f t="shared" ca="1" si="1"/>
        <v/>
      </c>
    </row>
    <row r="74" spans="1:5" x14ac:dyDescent="0.2">
      <c r="A74" s="27" t="str">
        <f ca="1">'384 Well qPCR Layout'!H11</f>
        <v>L0P7 (1:1000)</v>
      </c>
      <c r="B74" s="61">
        <f ca="1">IF(A74="", "",'Paste Sample Names Here'!$C$3)</f>
        <v>1000</v>
      </c>
      <c r="C74" s="27">
        <f ca="1">IF(A74="", "", OFFSET('Paste qPCR Data Here'!$F$16, 24*Sheet3!B53, 0))</f>
        <v>7.7220001220703125</v>
      </c>
      <c r="D74" s="27">
        <f t="shared" ca="1" si="0"/>
        <v>41.982836722460043</v>
      </c>
      <c r="E74" s="27">
        <f t="shared" ca="1" si="1"/>
        <v>41982.836722460044</v>
      </c>
    </row>
    <row r="75" spans="1:5" x14ac:dyDescent="0.2">
      <c r="A75" s="27" t="str">
        <f ca="1">'384 Well qPCR Layout'!H12</f>
        <v/>
      </c>
      <c r="B75" s="62" t="str">
        <f ca="1">IF(A75="", "", 'Paste Sample Names Here'!$G$3)</f>
        <v/>
      </c>
      <c r="C75" s="27" t="str">
        <f ca="1">IF(A75="", "", OFFSET('Paste qPCR Data Here'!$F$16, 24*Sheet3!B54, 0))</f>
        <v/>
      </c>
      <c r="D75" s="27" t="str">
        <f t="shared" ca="1" si="0"/>
        <v/>
      </c>
      <c r="E75" s="27" t="str">
        <f t="shared" ca="1" si="1"/>
        <v/>
      </c>
    </row>
    <row r="76" spans="1:5" x14ac:dyDescent="0.2">
      <c r="A76" s="27" t="str">
        <f ca="1">'384 Well qPCR Layout'!H13</f>
        <v>L0P8 (1:1000)</v>
      </c>
      <c r="B76" s="61">
        <f ca="1">IF(A76="", "",'Paste Sample Names Here'!$C$3)</f>
        <v>1000</v>
      </c>
      <c r="C76" s="27">
        <f ca="1">IF(A76="", "", OFFSET('Paste qPCR Data Here'!$F$16, 24*Sheet3!B55, 0))</f>
        <v>7.9650001525878906</v>
      </c>
      <c r="D76" s="27">
        <f t="shared" ca="1" si="0"/>
        <v>36.010924969323504</v>
      </c>
      <c r="E76" s="27">
        <f t="shared" ca="1" si="1"/>
        <v>36010.924969323503</v>
      </c>
    </row>
    <row r="77" spans="1:5" x14ac:dyDescent="0.2">
      <c r="A77" s="27" t="str">
        <f ca="1">'384 Well qPCR Layout'!H14</f>
        <v/>
      </c>
      <c r="B77" s="62" t="str">
        <f ca="1">IF(A77="", "", 'Paste Sample Names Here'!$G$3)</f>
        <v/>
      </c>
      <c r="C77" s="27" t="str">
        <f ca="1">IF(A77="", "", OFFSET('Paste qPCR Data Here'!$F$16, 24*Sheet3!B56, 0))</f>
        <v/>
      </c>
      <c r="D77" s="27" t="str">
        <f t="shared" ca="1" si="0"/>
        <v/>
      </c>
      <c r="E77" s="27" t="str">
        <f t="shared" ca="1" si="1"/>
        <v/>
      </c>
    </row>
    <row r="78" spans="1:5" x14ac:dyDescent="0.2">
      <c r="A78" s="27" t="str">
        <f ca="1">'384 Well qPCR Layout'!H15</f>
        <v>L0P9 (1:1000)</v>
      </c>
      <c r="B78" s="61">
        <f ca="1">IF(A78="", "",'Paste Sample Names Here'!$C$3)</f>
        <v>1000</v>
      </c>
      <c r="C78" s="27">
        <f ca="1">IF(A78="", "", OFFSET('Paste qPCR Data Here'!$F$16, 24*Sheet3!B57, 0))</f>
        <v>7.935999870300293</v>
      </c>
      <c r="D78" s="27">
        <f t="shared" ca="1" si="0"/>
        <v>36.676423340630599</v>
      </c>
      <c r="E78" s="27">
        <f t="shared" ca="1" si="1"/>
        <v>36676.423340630601</v>
      </c>
    </row>
    <row r="79" spans="1:5" x14ac:dyDescent="0.2">
      <c r="A79" s="27" t="str">
        <f ca="1">'384 Well qPCR Layout'!H16</f>
        <v/>
      </c>
      <c r="B79" s="62" t="str">
        <f ca="1">IF(A79="", "", 'Paste Sample Names Here'!$G$3)</f>
        <v/>
      </c>
      <c r="C79" s="27" t="str">
        <f ca="1">IF(A79="", "", OFFSET('Paste qPCR Data Here'!$F$16, 24*Sheet3!B58, 0))</f>
        <v/>
      </c>
      <c r="D79" s="27" t="str">
        <f t="shared" ca="1" si="0"/>
        <v/>
      </c>
      <c r="E79" s="27" t="str">
        <f t="shared" ca="1" si="1"/>
        <v/>
      </c>
    </row>
    <row r="80" spans="1:5" x14ac:dyDescent="0.2">
      <c r="A80" s="27" t="str">
        <f ca="1">'384 Well qPCR Layout'!H17</f>
        <v>L0P10 (1:1000)</v>
      </c>
      <c r="B80" s="61">
        <f ca="1">IF(A80="", "",'Paste Sample Names Here'!$C$3)</f>
        <v>1000</v>
      </c>
      <c r="C80" s="27">
        <f ca="1">IF(A80="", "", OFFSET('Paste qPCR Data Here'!$F$16, 24*Sheet3!B59, 0))</f>
        <v>8.4110002517700195</v>
      </c>
      <c r="D80" s="27">
        <f t="shared" ca="1" si="0"/>
        <v>27.172424755356545</v>
      </c>
      <c r="E80" s="27">
        <f t="shared" ca="1" si="1"/>
        <v>27172.424755356544</v>
      </c>
    </row>
    <row r="81" spans="1:5" x14ac:dyDescent="0.2">
      <c r="A81" s="27" t="str">
        <f ca="1">'384 Well qPCR Layout'!H18</f>
        <v/>
      </c>
      <c r="B81" s="62" t="str">
        <f ca="1">IF(A81="", "", 'Paste Sample Names Here'!$G$3)</f>
        <v/>
      </c>
      <c r="C81" s="27" t="str">
        <f ca="1">IF(A81="", "", OFFSET('Paste qPCR Data Here'!$F$16, 24*Sheet3!B60, 0))</f>
        <v/>
      </c>
      <c r="D81" s="27" t="str">
        <f t="shared" ca="1" si="0"/>
        <v/>
      </c>
      <c r="E81" s="27" t="str">
        <f t="shared" ca="1" si="1"/>
        <v/>
      </c>
    </row>
    <row r="82" spans="1:5" x14ac:dyDescent="0.2">
      <c r="A82" s="27" t="str">
        <f ca="1">'384 Well qPCR Layout'!J3</f>
        <v>L0P11 (1:1000)</v>
      </c>
      <c r="B82" s="61">
        <f ca="1">IF(A82="", "",'Paste Sample Names Here'!$C$3)</f>
        <v>1000</v>
      </c>
      <c r="C82" s="27">
        <f ca="1">IF(A82="", "", OFFSET('Paste qPCR Data Here'!$F$18, 24*Sheet3!B45, 0))</f>
        <v>7.304999828338623</v>
      </c>
      <c r="D82" s="27">
        <f t="shared" ca="1" si="0"/>
        <v>54.629231657236687</v>
      </c>
      <c r="E82" s="27">
        <f t="shared" ca="1" si="1"/>
        <v>54629.231657236684</v>
      </c>
    </row>
    <row r="83" spans="1:5" x14ac:dyDescent="0.2">
      <c r="A83" s="27" t="str">
        <f ca="1">'384 Well qPCR Layout'!J4</f>
        <v/>
      </c>
      <c r="B83" s="62" t="str">
        <f ca="1">IF(A83="", "", 'Paste Sample Names Here'!$G$3)</f>
        <v/>
      </c>
      <c r="C83" s="27" t="str">
        <f ca="1">IF(A83="", "", OFFSET('Paste qPCR Data Here'!$F$18, 24*Sheet3!B46, 0))</f>
        <v/>
      </c>
      <c r="D83" s="27" t="str">
        <f t="shared" ref="D83:D146" ca="1" si="2">IF(C83="", "", 2^(SLOPE(LOG($B$4:$B$7,2),$C$4:$C$7)*C83+INTERCEPT(LOG($B$4:$B$7,2),$C$4:$C$7)))</f>
        <v/>
      </c>
      <c r="E83" s="27" t="str">
        <f t="shared" ref="E83:E146" ca="1" si="3">IF(C83="", "", D83*B83)</f>
        <v/>
      </c>
    </row>
    <row r="84" spans="1:5" x14ac:dyDescent="0.2">
      <c r="A84" s="27" t="str">
        <f ca="1">'384 Well qPCR Layout'!J5</f>
        <v>L0P12 (1:1000)</v>
      </c>
      <c r="B84" s="61">
        <f ca="1">IF(A84="", "",'Paste Sample Names Here'!$C$3)</f>
        <v>1000</v>
      </c>
      <c r="C84" s="27">
        <f ca="1">IF(A84="", "", OFFSET('Paste qPCR Data Here'!$F$18, 24*Sheet3!B47, 0))</f>
        <v>7.190000057220459</v>
      </c>
      <c r="D84" s="27">
        <f t="shared" ca="1" si="2"/>
        <v>58.743699360449995</v>
      </c>
      <c r="E84" s="27">
        <f t="shared" ca="1" si="3"/>
        <v>58743.699360449995</v>
      </c>
    </row>
    <row r="85" spans="1:5" x14ac:dyDescent="0.2">
      <c r="A85" s="27" t="str">
        <f ca="1">'384 Well qPCR Layout'!J6</f>
        <v/>
      </c>
      <c r="B85" s="62" t="str">
        <f ca="1">IF(A85="", "", 'Paste Sample Names Here'!$G$3)</f>
        <v/>
      </c>
      <c r="C85" s="27" t="str">
        <f ca="1">IF(A85="", "", OFFSET('Paste qPCR Data Here'!$F$18, 24*Sheet3!B48, 0))</f>
        <v/>
      </c>
      <c r="D85" s="27" t="str">
        <f t="shared" ca="1" si="2"/>
        <v/>
      </c>
      <c r="E85" s="27" t="str">
        <f t="shared" ca="1" si="3"/>
        <v/>
      </c>
    </row>
    <row r="86" spans="1:5" x14ac:dyDescent="0.2">
      <c r="A86" s="27" t="str">
        <f ca="1">'384 Well qPCR Layout'!J7</f>
        <v>L0P13 (1:1000)</v>
      </c>
      <c r="B86" s="61">
        <f ca="1">IF(A86="", "",'Paste Sample Names Here'!$C$3)</f>
        <v>1000</v>
      </c>
      <c r="C86" s="27">
        <f ca="1">IF(A86="", "", OFFSET('Paste qPCR Data Here'!$F$18, 24*Sheet3!B49, 0))</f>
        <v>8.0600004196166992</v>
      </c>
      <c r="D86" s="27">
        <f t="shared" ca="1" si="2"/>
        <v>33.914272702222263</v>
      </c>
      <c r="E86" s="27">
        <f t="shared" ca="1" si="3"/>
        <v>33914.272702222261</v>
      </c>
    </row>
    <row r="87" spans="1:5" x14ac:dyDescent="0.2">
      <c r="A87" s="27" t="str">
        <f ca="1">'384 Well qPCR Layout'!J8</f>
        <v/>
      </c>
      <c r="B87" s="62" t="str">
        <f ca="1">IF(A87="", "", 'Paste Sample Names Here'!$G$3)</f>
        <v/>
      </c>
      <c r="C87" s="27" t="str">
        <f ca="1">IF(A87="", "", OFFSET('Paste qPCR Data Here'!$F$18, 24*Sheet3!B50, 0))</f>
        <v/>
      </c>
      <c r="D87" s="27" t="str">
        <f t="shared" ca="1" si="2"/>
        <v/>
      </c>
      <c r="E87" s="27" t="str">
        <f t="shared" ca="1" si="3"/>
        <v/>
      </c>
    </row>
    <row r="88" spans="1:5" x14ac:dyDescent="0.2">
      <c r="A88" s="27" t="str">
        <f ca="1">'384 Well qPCR Layout'!J9</f>
        <v>L0P14 (1:1000)</v>
      </c>
      <c r="B88" s="61">
        <f ca="1">IF(A88="", "",'Paste Sample Names Here'!$C$3)</f>
        <v>1000</v>
      </c>
      <c r="C88" s="27">
        <f ca="1">IF(A88="", "", OFFSET('Paste qPCR Data Here'!$F$18, 24*Sheet3!B51, 0))</f>
        <v>7.0419998168945312</v>
      </c>
      <c r="D88" s="27">
        <f t="shared" ca="1" si="2"/>
        <v>64.498135125647138</v>
      </c>
      <c r="E88" s="27">
        <f t="shared" ca="1" si="3"/>
        <v>64498.135125647139</v>
      </c>
    </row>
    <row r="89" spans="1:5" x14ac:dyDescent="0.2">
      <c r="A89" s="27" t="str">
        <f ca="1">'384 Well qPCR Layout'!J10</f>
        <v/>
      </c>
      <c r="B89" s="62" t="str">
        <f ca="1">IF(A89="", "", 'Paste Sample Names Here'!$G$3)</f>
        <v/>
      </c>
      <c r="C89" s="27" t="str">
        <f ca="1">IF(A89="", "", OFFSET('Paste qPCR Data Here'!$F$18, 24*Sheet3!B52, 0))</f>
        <v/>
      </c>
      <c r="D89" s="27" t="str">
        <f t="shared" ca="1" si="2"/>
        <v/>
      </c>
      <c r="E89" s="27" t="str">
        <f t="shared" ca="1" si="3"/>
        <v/>
      </c>
    </row>
    <row r="90" spans="1:5" x14ac:dyDescent="0.2">
      <c r="A90" s="27" t="str">
        <f ca="1">'384 Well qPCR Layout'!J11</f>
        <v>L0P15 (1:1000)</v>
      </c>
      <c r="B90" s="61">
        <f ca="1">IF(A90="", "",'Paste Sample Names Here'!$C$3)</f>
        <v>1000</v>
      </c>
      <c r="C90" s="27">
        <f ca="1">IF(A90="", "", OFFSET('Paste qPCR Data Here'!$F$18, 24*Sheet3!B53, 0))</f>
        <v>7.3680000305175781</v>
      </c>
      <c r="D90" s="27">
        <f t="shared" ca="1" si="2"/>
        <v>52.498712092713788</v>
      </c>
      <c r="E90" s="27">
        <f t="shared" ca="1" si="3"/>
        <v>52498.712092713788</v>
      </c>
    </row>
    <row r="91" spans="1:5" x14ac:dyDescent="0.2">
      <c r="A91" s="27" t="str">
        <f ca="1">'384 Well qPCR Layout'!J12</f>
        <v/>
      </c>
      <c r="B91" s="62" t="str">
        <f ca="1">IF(A91="", "", 'Paste Sample Names Here'!$G$3)</f>
        <v/>
      </c>
      <c r="C91" s="27" t="str">
        <f ca="1">IF(A91="", "", OFFSET('Paste qPCR Data Here'!$F$18, 24*Sheet3!B54, 0))</f>
        <v/>
      </c>
      <c r="D91" s="27" t="str">
        <f t="shared" ca="1" si="2"/>
        <v/>
      </c>
      <c r="E91" s="27" t="str">
        <f t="shared" ca="1" si="3"/>
        <v/>
      </c>
    </row>
    <row r="92" spans="1:5" x14ac:dyDescent="0.2">
      <c r="A92" s="27" t="str">
        <f ca="1">'384 Well qPCR Layout'!J13</f>
        <v>L0P16 (1:1000)</v>
      </c>
      <c r="B92" s="61">
        <f ca="1">IF(A92="", "",'Paste Sample Names Here'!$C$3)</f>
        <v>1000</v>
      </c>
      <c r="C92" s="27">
        <f ca="1">IF(A92="", "", OFFSET('Paste qPCR Data Here'!$F$18, 24*Sheet3!B55, 0))</f>
        <v>7.5539999008178711</v>
      </c>
      <c r="D92" s="27">
        <f t="shared" ca="1" si="2"/>
        <v>46.68122104370989</v>
      </c>
      <c r="E92" s="27">
        <f t="shared" ca="1" si="3"/>
        <v>46681.221043709891</v>
      </c>
    </row>
    <row r="93" spans="1:5" x14ac:dyDescent="0.2">
      <c r="A93" s="27" t="str">
        <f ca="1">'384 Well qPCR Layout'!J14</f>
        <v/>
      </c>
      <c r="B93" s="62" t="str">
        <f ca="1">IF(A93="", "", 'Paste Sample Names Here'!$G$3)</f>
        <v/>
      </c>
      <c r="C93" s="27" t="str">
        <f ca="1">IF(A93="", "", OFFSET('Paste qPCR Data Here'!$F$18, 24*Sheet3!B56, 0))</f>
        <v/>
      </c>
      <c r="D93" s="27" t="str">
        <f t="shared" ca="1" si="2"/>
        <v/>
      </c>
      <c r="E93" s="27" t="str">
        <f t="shared" ca="1" si="3"/>
        <v/>
      </c>
    </row>
    <row r="94" spans="1:5" x14ac:dyDescent="0.2">
      <c r="A94" s="27" t="str">
        <f ca="1">'384 Well qPCR Layout'!J15</f>
        <v>L0P17 (1:1000)</v>
      </c>
      <c r="B94" s="61">
        <f ca="1">IF(A94="", "",'Paste Sample Names Here'!$C$3)</f>
        <v>1000</v>
      </c>
      <c r="C94" s="27">
        <f ca="1">IF(A94="", "", OFFSET('Paste qPCR Data Here'!$F$18, 24*Sheet3!B57, 0))</f>
        <v>7.9289999008178711</v>
      </c>
      <c r="D94" s="27">
        <f t="shared" ca="1" si="2"/>
        <v>36.838892655560102</v>
      </c>
      <c r="E94" s="27">
        <f t="shared" ca="1" si="3"/>
        <v>36838.892655560099</v>
      </c>
    </row>
    <row r="95" spans="1:5" x14ac:dyDescent="0.2">
      <c r="A95" s="27" t="str">
        <f ca="1">'384 Well qPCR Layout'!J16</f>
        <v/>
      </c>
      <c r="B95" s="62" t="str">
        <f ca="1">IF(A95="", "", 'Paste Sample Names Here'!$G$3)</f>
        <v/>
      </c>
      <c r="C95" s="27" t="str">
        <f ca="1">IF(A95="", "", OFFSET('Paste qPCR Data Here'!$F$18, 24*Sheet3!B58, 0))</f>
        <v/>
      </c>
      <c r="D95" s="27" t="str">
        <f t="shared" ca="1" si="2"/>
        <v/>
      </c>
      <c r="E95" s="27" t="str">
        <f t="shared" ca="1" si="3"/>
        <v/>
      </c>
    </row>
    <row r="96" spans="1:5" x14ac:dyDescent="0.2">
      <c r="A96" s="27" t="str">
        <f ca="1">'384 Well qPCR Layout'!J17</f>
        <v>L0P18 (1:1000)</v>
      </c>
      <c r="B96" s="61">
        <f ca="1">IF(A96="", "",'Paste Sample Names Here'!$C$3)</f>
        <v>1000</v>
      </c>
      <c r="C96" s="27">
        <f ca="1">IF(A96="", "", OFFSET('Paste qPCR Data Here'!$F$18, 24*Sheet3!B59, 0))</f>
        <v>7.6040000915527344</v>
      </c>
      <c r="D96" s="27">
        <f t="shared" ca="1" si="2"/>
        <v>45.230432067012465</v>
      </c>
      <c r="E96" s="27">
        <f t="shared" ca="1" si="3"/>
        <v>45230.432067012465</v>
      </c>
    </row>
    <row r="97" spans="1:5" x14ac:dyDescent="0.2">
      <c r="A97" s="27" t="str">
        <f ca="1">'384 Well qPCR Layout'!J18</f>
        <v/>
      </c>
      <c r="B97" s="62" t="str">
        <f ca="1">IF(A97="", "", 'Paste Sample Names Here'!$G$3)</f>
        <v/>
      </c>
      <c r="C97" s="27" t="str">
        <f ca="1">IF(A97="", "", OFFSET('Paste qPCR Data Here'!$F$18, 24*Sheet3!B60, 0))</f>
        <v/>
      </c>
      <c r="D97" s="27" t="str">
        <f t="shared" ca="1" si="2"/>
        <v/>
      </c>
      <c r="E97" s="27" t="str">
        <f t="shared" ca="1" si="3"/>
        <v/>
      </c>
    </row>
    <row r="98" spans="1:5" x14ac:dyDescent="0.2">
      <c r="A98" s="27" t="str">
        <f ca="1">'384 Well qPCR Layout'!L3</f>
        <v>L0P19 (1:1000)</v>
      </c>
      <c r="B98" s="61">
        <f ca="1">IF(A98="", "",'Paste Sample Names Here'!$C$3)</f>
        <v>1000</v>
      </c>
      <c r="C98" s="27">
        <f ca="1">IF(A98="", "", OFFSET('Paste qPCR Data Here'!$F$20, 24*Sheet3!B45, 0))</f>
        <v>7.8499999046325684</v>
      </c>
      <c r="D98" s="27">
        <f t="shared" ca="1" si="2"/>
        <v>38.723143687899743</v>
      </c>
      <c r="E98" s="27">
        <f t="shared" ca="1" si="3"/>
        <v>38723.143687899741</v>
      </c>
    </row>
    <row r="99" spans="1:5" x14ac:dyDescent="0.2">
      <c r="A99" s="27" t="str">
        <f ca="1">'384 Well qPCR Layout'!L4</f>
        <v/>
      </c>
      <c r="B99" s="62" t="str">
        <f ca="1">IF(A99="", "", 'Paste Sample Names Here'!$G$3)</f>
        <v/>
      </c>
      <c r="C99" s="27" t="str">
        <f ca="1">IF(A99="", "", OFFSET('Paste qPCR Data Here'!$F$20, 24*Sheet3!B46, 0))</f>
        <v/>
      </c>
      <c r="D99" s="27" t="str">
        <f t="shared" ca="1" si="2"/>
        <v/>
      </c>
      <c r="E99" s="27" t="str">
        <f t="shared" ca="1" si="3"/>
        <v/>
      </c>
    </row>
    <row r="100" spans="1:5" x14ac:dyDescent="0.2">
      <c r="A100" s="27" t="str">
        <f ca="1">'384 Well qPCR Layout'!L5</f>
        <v>L0P20 (1:1000)</v>
      </c>
      <c r="B100" s="61">
        <f ca="1">IF(A100="", "",'Paste Sample Names Here'!$C$3)</f>
        <v>1000</v>
      </c>
      <c r="C100" s="27">
        <f ca="1">IF(A100="", "", OFFSET('Paste qPCR Data Here'!$F$20, 24*Sheet3!B47, 0))</f>
        <v>7.7789998054504395</v>
      </c>
      <c r="D100" s="27">
        <f t="shared" ca="1" si="2"/>
        <v>40.498678250253178</v>
      </c>
      <c r="E100" s="27">
        <f t="shared" ca="1" si="3"/>
        <v>40498.678250253179</v>
      </c>
    </row>
    <row r="101" spans="1:5" x14ac:dyDescent="0.2">
      <c r="A101" s="27" t="str">
        <f ca="1">'384 Well qPCR Layout'!L6</f>
        <v/>
      </c>
      <c r="B101" s="62" t="str">
        <f ca="1">IF(A101="", "", 'Paste Sample Names Here'!$G$3)</f>
        <v/>
      </c>
      <c r="C101" s="27" t="str">
        <f ca="1">IF(A101="", "", OFFSET('Paste qPCR Data Here'!$F$20, 24*Sheet3!B48, 0))</f>
        <v/>
      </c>
      <c r="D101" s="27" t="str">
        <f t="shared" ca="1" si="2"/>
        <v/>
      </c>
      <c r="E101" s="27" t="str">
        <f t="shared" ca="1" si="3"/>
        <v/>
      </c>
    </row>
    <row r="102" spans="1:5" x14ac:dyDescent="0.2">
      <c r="A102" s="27" t="str">
        <f ca="1">'384 Well qPCR Layout'!L7</f>
        <v>L0P21 (1:1000)</v>
      </c>
      <c r="B102" s="61">
        <f ca="1">IF(A102="", "",'Paste Sample Names Here'!$C$3)</f>
        <v>1000</v>
      </c>
      <c r="C102" s="27">
        <f ca="1">IF(A102="", "", OFFSET('Paste qPCR Data Here'!$F$20, 24*Sheet3!B49, 0))</f>
        <v>8.4750003814697266</v>
      </c>
      <c r="D102" s="27">
        <f t="shared" ca="1" si="2"/>
        <v>26.096228313095725</v>
      </c>
      <c r="E102" s="27">
        <f t="shared" ca="1" si="3"/>
        <v>26096.228313095726</v>
      </c>
    </row>
    <row r="103" spans="1:5" x14ac:dyDescent="0.2">
      <c r="A103" s="27" t="str">
        <f ca="1">'384 Well qPCR Layout'!L8</f>
        <v/>
      </c>
      <c r="B103" s="62" t="str">
        <f ca="1">IF(A103="", "", 'Paste Sample Names Here'!$G$3)</f>
        <v/>
      </c>
      <c r="C103" s="27" t="str">
        <f ca="1">IF(A103="", "", OFFSET('Paste qPCR Data Here'!$F$20, 24*Sheet3!B50, 0))</f>
        <v/>
      </c>
      <c r="D103" s="27" t="str">
        <f t="shared" ca="1" si="2"/>
        <v/>
      </c>
      <c r="E103" s="27" t="str">
        <f t="shared" ca="1" si="3"/>
        <v/>
      </c>
    </row>
    <row r="104" spans="1:5" x14ac:dyDescent="0.2">
      <c r="A104" s="27" t="str">
        <f ca="1">'384 Well qPCR Layout'!L9</f>
        <v>L0P22 (1:1000)</v>
      </c>
      <c r="B104" s="61">
        <f ca="1">IF(A104="", "",'Paste Sample Names Here'!$C$3)</f>
        <v>1000</v>
      </c>
      <c r="C104" s="27">
        <f ca="1">IF(A104="", "", OFFSET('Paste qPCR Data Here'!$F$20, 24*Sheet3!B51, 0))</f>
        <v>8.1750001907348633</v>
      </c>
      <c r="D104" s="27">
        <f t="shared" ca="1" si="2"/>
        <v>31.538882979912607</v>
      </c>
      <c r="E104" s="27">
        <f t="shared" ca="1" si="3"/>
        <v>31538.882979912607</v>
      </c>
    </row>
    <row r="105" spans="1:5" x14ac:dyDescent="0.2">
      <c r="A105" s="27" t="str">
        <f ca="1">'384 Well qPCR Layout'!L10</f>
        <v/>
      </c>
      <c r="B105" s="62" t="str">
        <f ca="1">IF(A105="", "", 'Paste Sample Names Here'!$G$3)</f>
        <v/>
      </c>
      <c r="C105" s="27" t="str">
        <f ca="1">IF(A105="", "", OFFSET('Paste qPCR Data Here'!$F$20, 24*Sheet3!B52, 0))</f>
        <v/>
      </c>
      <c r="D105" s="27" t="str">
        <f t="shared" ca="1" si="2"/>
        <v/>
      </c>
      <c r="E105" s="27" t="str">
        <f t="shared" ca="1" si="3"/>
        <v/>
      </c>
    </row>
    <row r="106" spans="1:5" x14ac:dyDescent="0.2">
      <c r="A106" s="27" t="str">
        <f ca="1">'384 Well qPCR Layout'!L11</f>
        <v>L0P23 (1:1000)</v>
      </c>
      <c r="B106" s="61">
        <f ca="1">IF(A106="", "",'Paste Sample Names Here'!$C$3)</f>
        <v>1000</v>
      </c>
      <c r="C106" s="27">
        <f ca="1">IF(A106="", "", OFFSET('Paste qPCR Data Here'!$F$20, 24*Sheet3!B53, 0))</f>
        <v>7.3660001754760742</v>
      </c>
      <c r="D106" s="27">
        <f t="shared" ca="1" si="2"/>
        <v>52.565048123330641</v>
      </c>
      <c r="E106" s="27">
        <f t="shared" ca="1" si="3"/>
        <v>52565.048123330642</v>
      </c>
    </row>
    <row r="107" spans="1:5" x14ac:dyDescent="0.2">
      <c r="A107" s="27" t="str">
        <f ca="1">'384 Well qPCR Layout'!L12</f>
        <v/>
      </c>
      <c r="B107" s="62" t="str">
        <f ca="1">IF(A107="", "", 'Paste Sample Names Here'!$G$3)</f>
        <v/>
      </c>
      <c r="C107" s="27" t="str">
        <f ca="1">IF(A107="", "", OFFSET('Paste qPCR Data Here'!$F$20, 24*Sheet3!B54, 0))</f>
        <v/>
      </c>
      <c r="D107" s="27" t="str">
        <f t="shared" ca="1" si="2"/>
        <v/>
      </c>
      <c r="E107" s="27" t="str">
        <f t="shared" ca="1" si="3"/>
        <v/>
      </c>
    </row>
    <row r="108" spans="1:5" x14ac:dyDescent="0.2">
      <c r="A108" s="27" t="str">
        <f ca="1">'384 Well qPCR Layout'!L13</f>
        <v>L0P24 (1:1000)</v>
      </c>
      <c r="B108" s="61">
        <f ca="1">IF(A108="", "",'Paste Sample Names Here'!$C$3)</f>
        <v>1000</v>
      </c>
      <c r="C108" s="27">
        <f ca="1">IF(A108="", "", OFFSET('Paste qPCR Data Here'!$F$20, 24*Sheet3!B55, 0))</f>
        <v>8.4700002670288086</v>
      </c>
      <c r="D108" s="27">
        <f t="shared" ca="1" si="2"/>
        <v>26.178750652602826</v>
      </c>
      <c r="E108" s="27">
        <f t="shared" ca="1" si="3"/>
        <v>26178.750652602826</v>
      </c>
    </row>
    <row r="109" spans="1:5" x14ac:dyDescent="0.2">
      <c r="A109" s="27" t="str">
        <f ca="1">'384 Well qPCR Layout'!L14</f>
        <v/>
      </c>
      <c r="B109" s="62" t="str">
        <f ca="1">IF(A109="", "", 'Paste Sample Names Here'!$G$3)</f>
        <v/>
      </c>
      <c r="C109" s="27" t="str">
        <f ca="1">IF(A109="", "", OFFSET('Paste qPCR Data Here'!$F$20, 24*Sheet3!B56, 0))</f>
        <v/>
      </c>
      <c r="D109" s="27" t="str">
        <f t="shared" ca="1" si="2"/>
        <v/>
      </c>
      <c r="E109" s="27" t="str">
        <f t="shared" ca="1" si="3"/>
        <v/>
      </c>
    </row>
    <row r="110" spans="1:5" x14ac:dyDescent="0.2">
      <c r="A110" s="27" t="str">
        <f ca="1">'384 Well qPCR Layout'!L15</f>
        <v>L0P25 (1:1000)</v>
      </c>
      <c r="B110" s="61">
        <f ca="1">IF(A110="", "",'Paste Sample Names Here'!$C$3)</f>
        <v>1000</v>
      </c>
      <c r="C110" s="27">
        <f ca="1">IF(A110="", "", OFFSET('Paste qPCR Data Here'!$F$20, 24*Sheet3!B57, 0))</f>
        <v>7.2779998779296875</v>
      </c>
      <c r="D110" s="27">
        <f t="shared" ca="1" si="2"/>
        <v>55.568573074661366</v>
      </c>
      <c r="E110" s="27">
        <f t="shared" ca="1" si="3"/>
        <v>55568.573074661363</v>
      </c>
    </row>
    <row r="111" spans="1:5" x14ac:dyDescent="0.2">
      <c r="A111" s="27" t="str">
        <f ca="1">'384 Well qPCR Layout'!L16</f>
        <v/>
      </c>
      <c r="B111" s="62" t="str">
        <f ca="1">IF(A111="", "", 'Paste Sample Names Here'!$G$3)</f>
        <v/>
      </c>
      <c r="C111" s="27" t="str">
        <f ca="1">IF(A111="", "", OFFSET('Paste qPCR Data Here'!$F$20, 24*Sheet3!B58, 0))</f>
        <v/>
      </c>
      <c r="D111" s="27" t="str">
        <f t="shared" ca="1" si="2"/>
        <v/>
      </c>
      <c r="E111" s="27" t="str">
        <f t="shared" ca="1" si="3"/>
        <v/>
      </c>
    </row>
    <row r="112" spans="1:5" x14ac:dyDescent="0.2">
      <c r="A112" s="27" t="str">
        <f ca="1">'384 Well qPCR Layout'!L17</f>
        <v>L0P26 (1:1000)</v>
      </c>
      <c r="B112" s="61">
        <f ca="1">IF(A112="", "",'Paste Sample Names Here'!$C$3)</f>
        <v>1000</v>
      </c>
      <c r="C112" s="27">
        <f ca="1">IF(A112="", "", OFFSET('Paste qPCR Data Here'!$F$20, 24*Sheet3!B59, 0))</f>
        <v>7.6389999389648438</v>
      </c>
      <c r="D112" s="27">
        <f t="shared" ca="1" si="2"/>
        <v>44.241799695374318</v>
      </c>
      <c r="E112" s="27">
        <f t="shared" ca="1" si="3"/>
        <v>44241.79969537432</v>
      </c>
    </row>
    <row r="113" spans="1:5" x14ac:dyDescent="0.2">
      <c r="A113" s="27" t="str">
        <f ca="1">'384 Well qPCR Layout'!L18</f>
        <v/>
      </c>
      <c r="B113" s="62" t="str">
        <f ca="1">IF(A113="", "", 'Paste Sample Names Here'!$G$3)</f>
        <v/>
      </c>
      <c r="C113" s="27" t="str">
        <f ca="1">IF(A113="", "", OFFSET('Paste qPCR Data Here'!$F$20, 24*Sheet3!B60, 0))</f>
        <v/>
      </c>
      <c r="D113" s="27" t="str">
        <f t="shared" ca="1" si="2"/>
        <v/>
      </c>
      <c r="E113" s="27" t="str">
        <f t="shared" ca="1" si="3"/>
        <v/>
      </c>
    </row>
    <row r="114" spans="1:5" x14ac:dyDescent="0.2">
      <c r="A114" s="27" t="str">
        <f ca="1">'384 Well qPCR Layout'!N3</f>
        <v>L0P27 (1:1000)</v>
      </c>
      <c r="B114" s="61">
        <f ca="1">IF(A114="", "",'Paste Sample Names Here'!$C$3)</f>
        <v>1000</v>
      </c>
      <c r="C114" s="27">
        <f ca="1">IF(A114="", "", OFFSET('Paste qPCR Data Here'!$F$22, 24*Sheet3!B45, 0))</f>
        <v>5.7579998970031738</v>
      </c>
      <c r="D114" s="27">
        <f t="shared" ca="1" si="2"/>
        <v>145.09630997358164</v>
      </c>
      <c r="E114" s="27">
        <f t="shared" ca="1" si="3"/>
        <v>145096.30997358164</v>
      </c>
    </row>
    <row r="115" spans="1:5" x14ac:dyDescent="0.2">
      <c r="A115" s="27" t="str">
        <f ca="1">'384 Well qPCR Layout'!N4</f>
        <v/>
      </c>
      <c r="B115" s="62" t="str">
        <f ca="1">IF(A115="", "", 'Paste Sample Names Here'!$G$3)</f>
        <v/>
      </c>
      <c r="C115" s="27" t="str">
        <f ca="1">IF(A115="", "", OFFSET('Paste qPCR Data Here'!$F$22, 24*Sheet3!B46, 0))</f>
        <v/>
      </c>
      <c r="D115" s="27" t="str">
        <f t="shared" ca="1" si="2"/>
        <v/>
      </c>
      <c r="E115" s="27" t="str">
        <f t="shared" ca="1" si="3"/>
        <v/>
      </c>
    </row>
    <row r="116" spans="1:5" x14ac:dyDescent="0.2">
      <c r="A116" s="27" t="str">
        <f ca="1">'384 Well qPCR Layout'!N5</f>
        <v>L0P28 (1:1000)</v>
      </c>
      <c r="B116" s="61">
        <f ca="1">IF(A116="", "",'Paste Sample Names Here'!$C$3)</f>
        <v>1000</v>
      </c>
      <c r="C116" s="27">
        <f ca="1">IF(A116="", "", OFFSET('Paste qPCR Data Here'!$F$22, 24*Sheet3!B47, 0))</f>
        <v>5.7399997711181641</v>
      </c>
      <c r="D116" s="27">
        <f t="shared" ca="1" si="2"/>
        <v>146.75486695756794</v>
      </c>
      <c r="E116" s="27">
        <f t="shared" ca="1" si="3"/>
        <v>146754.86695756795</v>
      </c>
    </row>
    <row r="117" spans="1:5" x14ac:dyDescent="0.2">
      <c r="A117" s="27" t="str">
        <f ca="1">'384 Well qPCR Layout'!N6</f>
        <v/>
      </c>
      <c r="B117" s="62" t="str">
        <f ca="1">IF(A117="", "", 'Paste Sample Names Here'!$G$3)</f>
        <v/>
      </c>
      <c r="C117" s="27" t="str">
        <f ca="1">IF(A117="", "", OFFSET('Paste qPCR Data Here'!$F$22, 24*Sheet3!B48, 0))</f>
        <v/>
      </c>
      <c r="D117" s="27" t="str">
        <f t="shared" ca="1" si="2"/>
        <v/>
      </c>
      <c r="E117" s="27" t="str">
        <f t="shared" ca="1" si="3"/>
        <v/>
      </c>
    </row>
    <row r="118" spans="1:5" x14ac:dyDescent="0.2">
      <c r="A118" s="27" t="str">
        <f ca="1">'384 Well qPCR Layout'!N7</f>
        <v>L0P29 (1:1000)</v>
      </c>
      <c r="B118" s="61">
        <f ca="1">IF(A118="", "",'Paste Sample Names Here'!$C$3)</f>
        <v>1000</v>
      </c>
      <c r="C118" s="27">
        <f ca="1">IF(A118="", "", OFFSET('Paste qPCR Data Here'!$F$22, 24*Sheet3!B49, 0))</f>
        <v>7.9780001640319824</v>
      </c>
      <c r="D118" s="27">
        <f t="shared" ca="1" si="2"/>
        <v>35.716533770827887</v>
      </c>
      <c r="E118" s="27">
        <f t="shared" ca="1" si="3"/>
        <v>35716.533770827889</v>
      </c>
    </row>
    <row r="119" spans="1:5" x14ac:dyDescent="0.2">
      <c r="A119" s="27" t="str">
        <f ca="1">'384 Well qPCR Layout'!N8</f>
        <v/>
      </c>
      <c r="B119" s="62" t="str">
        <f ca="1">IF(A119="", "", 'Paste Sample Names Here'!$G$3)</f>
        <v/>
      </c>
      <c r="C119" s="27" t="str">
        <f ca="1">IF(A119="", "", OFFSET('Paste qPCR Data Here'!$F$22, 24*Sheet3!B50, 0))</f>
        <v/>
      </c>
      <c r="D119" s="27" t="str">
        <f t="shared" ca="1" si="2"/>
        <v/>
      </c>
      <c r="E119" s="27" t="str">
        <f t="shared" ca="1" si="3"/>
        <v/>
      </c>
    </row>
    <row r="120" spans="1:5" x14ac:dyDescent="0.2">
      <c r="A120" s="27" t="str">
        <f ca="1">'384 Well qPCR Layout'!N9</f>
        <v>L0P30 (1:1000)</v>
      </c>
      <c r="B120" s="61">
        <f ca="1">IF(A120="", "",'Paste Sample Names Here'!$C$3)</f>
        <v>1000</v>
      </c>
      <c r="C120" s="27">
        <f ca="1">IF(A120="", "", OFFSET('Paste qPCR Data Here'!$F$22, 24*Sheet3!B51, 0))</f>
        <v>7.0900001525878906</v>
      </c>
      <c r="D120" s="27">
        <f t="shared" ca="1" si="2"/>
        <v>62.572585988685859</v>
      </c>
      <c r="E120" s="27">
        <f t="shared" ca="1" si="3"/>
        <v>62572.58598868586</v>
      </c>
    </row>
    <row r="121" spans="1:5" x14ac:dyDescent="0.2">
      <c r="A121" s="27" t="str">
        <f ca="1">'384 Well qPCR Layout'!N10</f>
        <v/>
      </c>
      <c r="B121" s="62" t="str">
        <f ca="1">IF(A121="", "", 'Paste Sample Names Here'!$G$3)</f>
        <v/>
      </c>
      <c r="C121" s="27" t="str">
        <f ca="1">IF(A121="", "", OFFSET('Paste qPCR Data Here'!$F$22, 24*Sheet3!B52, 0))</f>
        <v/>
      </c>
      <c r="D121" s="27" t="str">
        <f t="shared" ca="1" si="2"/>
        <v/>
      </c>
      <c r="E121" s="27" t="str">
        <f t="shared" ca="1" si="3"/>
        <v/>
      </c>
    </row>
    <row r="122" spans="1:5" x14ac:dyDescent="0.2">
      <c r="A122" s="27" t="str">
        <f ca="1">'384 Well qPCR Layout'!N11</f>
        <v/>
      </c>
      <c r="B122" s="61" t="str">
        <f ca="1">IF(A122="", "",'Paste Sample Names Here'!$C$3)</f>
        <v/>
      </c>
      <c r="C122" s="27" t="str">
        <f ca="1">IF(A122="", "", OFFSET('Paste qPCR Data Here'!$F$22, 24*Sheet3!B53, 0))</f>
        <v/>
      </c>
      <c r="D122" s="27" t="str">
        <f t="shared" ca="1" si="2"/>
        <v/>
      </c>
      <c r="E122" s="27" t="str">
        <f t="shared" ca="1" si="3"/>
        <v/>
      </c>
    </row>
    <row r="123" spans="1:5" x14ac:dyDescent="0.2">
      <c r="A123" s="27" t="str">
        <f ca="1">'384 Well qPCR Layout'!N12</f>
        <v/>
      </c>
      <c r="B123" s="62" t="str">
        <f ca="1">IF(A123="", "", 'Paste Sample Names Here'!$G$3)</f>
        <v/>
      </c>
      <c r="C123" s="27" t="str">
        <f ca="1">IF(A123="", "", OFFSET('Paste qPCR Data Here'!$F$22, 24*Sheet3!B54, 0))</f>
        <v/>
      </c>
      <c r="D123" s="27" t="str">
        <f t="shared" ca="1" si="2"/>
        <v/>
      </c>
      <c r="E123" s="27" t="str">
        <f t="shared" ca="1" si="3"/>
        <v/>
      </c>
    </row>
    <row r="124" spans="1:5" x14ac:dyDescent="0.2">
      <c r="A124" s="27" t="str">
        <f ca="1">'384 Well qPCR Layout'!N13</f>
        <v/>
      </c>
      <c r="B124" s="61" t="str">
        <f ca="1">IF(A124="", "",'Paste Sample Names Here'!$C$3)</f>
        <v/>
      </c>
      <c r="C124" s="27" t="str">
        <f ca="1">IF(A124="", "", OFFSET('Paste qPCR Data Here'!$F$22, 24*Sheet3!B55, 0))</f>
        <v/>
      </c>
      <c r="D124" s="27" t="str">
        <f t="shared" ca="1" si="2"/>
        <v/>
      </c>
      <c r="E124" s="27" t="str">
        <f t="shared" ca="1" si="3"/>
        <v/>
      </c>
    </row>
    <row r="125" spans="1:5" x14ac:dyDescent="0.2">
      <c r="A125" s="27" t="str">
        <f ca="1">'384 Well qPCR Layout'!N14</f>
        <v/>
      </c>
      <c r="B125" s="62" t="str">
        <f ca="1">IF(A125="", "", 'Paste Sample Names Here'!$G$3)</f>
        <v/>
      </c>
      <c r="C125" s="27" t="str">
        <f ca="1">IF(A125="", "", OFFSET('Paste qPCR Data Here'!$F$22, 24*Sheet3!B56, 0))</f>
        <v/>
      </c>
      <c r="D125" s="27" t="str">
        <f t="shared" ca="1" si="2"/>
        <v/>
      </c>
      <c r="E125" s="27" t="str">
        <f t="shared" ca="1" si="3"/>
        <v/>
      </c>
    </row>
    <row r="126" spans="1:5" x14ac:dyDescent="0.2">
      <c r="A126" s="27" t="str">
        <f ca="1">'384 Well qPCR Layout'!N15</f>
        <v/>
      </c>
      <c r="B126" s="61" t="str">
        <f ca="1">IF(A126="", "",'Paste Sample Names Here'!$C$3)</f>
        <v/>
      </c>
      <c r="C126" s="27" t="str">
        <f ca="1">IF(A126="", "", OFFSET('Paste qPCR Data Here'!$F$22, 24*Sheet3!B57, 0))</f>
        <v/>
      </c>
      <c r="D126" s="27" t="str">
        <f t="shared" ca="1" si="2"/>
        <v/>
      </c>
      <c r="E126" s="27" t="str">
        <f t="shared" ca="1" si="3"/>
        <v/>
      </c>
    </row>
    <row r="127" spans="1:5" x14ac:dyDescent="0.2">
      <c r="A127" s="27" t="str">
        <f ca="1">'384 Well qPCR Layout'!N16</f>
        <v/>
      </c>
      <c r="B127" s="62" t="str">
        <f ca="1">IF(A127="", "", 'Paste Sample Names Here'!$G$3)</f>
        <v/>
      </c>
      <c r="C127" s="27" t="str">
        <f ca="1">IF(A127="", "", OFFSET('Paste qPCR Data Here'!$F$22, 24*Sheet3!B58, 0))</f>
        <v/>
      </c>
      <c r="D127" s="27" t="str">
        <f t="shared" ca="1" si="2"/>
        <v/>
      </c>
      <c r="E127" s="27" t="str">
        <f t="shared" ca="1" si="3"/>
        <v/>
      </c>
    </row>
    <row r="128" spans="1:5" x14ac:dyDescent="0.2">
      <c r="A128" s="27" t="str">
        <f ca="1">'384 Well qPCR Layout'!N17</f>
        <v/>
      </c>
      <c r="B128" s="61" t="str">
        <f ca="1">IF(A128="", "",'Paste Sample Names Here'!$C$3)</f>
        <v/>
      </c>
      <c r="C128" s="27" t="str">
        <f ca="1">IF(A128="", "", OFFSET('Paste qPCR Data Here'!$F$22, 24*Sheet3!B59, 0))</f>
        <v/>
      </c>
      <c r="D128" s="27" t="str">
        <f t="shared" ca="1" si="2"/>
        <v/>
      </c>
      <c r="E128" s="27" t="str">
        <f t="shared" ca="1" si="3"/>
        <v/>
      </c>
    </row>
    <row r="129" spans="1:5" x14ac:dyDescent="0.2">
      <c r="A129" s="27" t="str">
        <f ca="1">'384 Well qPCR Layout'!N18</f>
        <v/>
      </c>
      <c r="B129" s="62" t="str">
        <f ca="1">IF(A129="", "", 'Paste Sample Names Here'!$G$3)</f>
        <v/>
      </c>
      <c r="C129" s="27" t="str">
        <f ca="1">IF(A129="", "", OFFSET('Paste qPCR Data Here'!$F$22, 24*Sheet3!B60, 0))</f>
        <v/>
      </c>
      <c r="D129" s="27" t="str">
        <f t="shared" ca="1" si="2"/>
        <v/>
      </c>
      <c r="E129" s="27" t="str">
        <f t="shared" ca="1" si="3"/>
        <v/>
      </c>
    </row>
    <row r="130" spans="1:5" x14ac:dyDescent="0.2">
      <c r="A130" s="27" t="str">
        <f ca="1">'384 Well qPCR Layout'!P3</f>
        <v>BarLP5C (1:1000)</v>
      </c>
      <c r="B130" s="61">
        <f ca="1">IF(A130="", "",'Paste Sample Names Here'!$C$3)</f>
        <v>1000</v>
      </c>
      <c r="C130" s="27">
        <f ca="1">IF(A130="", "", OFFSET('Paste qPCR Data Here'!$F$24, 24*Sheet3!B45, 0))</f>
        <v>8.3730001449584961</v>
      </c>
      <c r="D130" s="27">
        <f t="shared" ca="1" si="2"/>
        <v>27.83230034207671</v>
      </c>
      <c r="E130" s="27">
        <f t="shared" ca="1" si="3"/>
        <v>27832.300342076709</v>
      </c>
    </row>
    <row r="131" spans="1:5" x14ac:dyDescent="0.2">
      <c r="A131" s="27" t="str">
        <f ca="1">'384 Well qPCR Layout'!P4</f>
        <v/>
      </c>
      <c r="B131" s="62" t="str">
        <f ca="1">IF(A131="", "", 'Paste Sample Names Here'!$G$3)</f>
        <v/>
      </c>
      <c r="C131" s="27" t="str">
        <f ca="1">IF(A131="", "", OFFSET('Paste qPCR Data Here'!$F$24, 24*Sheet3!B46, 0))</f>
        <v/>
      </c>
      <c r="D131" s="27" t="str">
        <f t="shared" ca="1" si="2"/>
        <v/>
      </c>
      <c r="E131" s="27" t="str">
        <f t="shared" ca="1" si="3"/>
        <v/>
      </c>
    </row>
    <row r="132" spans="1:5" x14ac:dyDescent="0.2">
      <c r="A132" s="27" t="str">
        <f ca="1">'384 Well qPCR Layout'!P5</f>
        <v>BarLP6C (1:1000)</v>
      </c>
      <c r="B132" s="61">
        <f ca="1">IF(A132="", "",'Paste Sample Names Here'!$C$3)</f>
        <v>1000</v>
      </c>
      <c r="C132" s="27">
        <f ca="1">IF(A132="", "", OFFSET('Paste qPCR Data Here'!$F$24, 24*Sheet3!B47, 0))</f>
        <v>8.1210002899169922</v>
      </c>
      <c r="D132" s="27">
        <f t="shared" ca="1" si="2"/>
        <v>32.632820549308043</v>
      </c>
      <c r="E132" s="27">
        <f t="shared" ca="1" si="3"/>
        <v>32632.820549308042</v>
      </c>
    </row>
    <row r="133" spans="1:5" x14ac:dyDescent="0.2">
      <c r="A133" s="27" t="str">
        <f ca="1">'384 Well qPCR Layout'!P6</f>
        <v/>
      </c>
      <c r="B133" s="62" t="str">
        <f ca="1">IF(A133="", "", 'Paste Sample Names Here'!$G$3)</f>
        <v/>
      </c>
      <c r="C133" s="27" t="str">
        <f ca="1">IF(A133="", "", OFFSET('Paste qPCR Data Here'!$F$24, 24*Sheet3!B48, 0))</f>
        <v/>
      </c>
      <c r="D133" s="27" t="str">
        <f t="shared" ca="1" si="2"/>
        <v/>
      </c>
      <c r="E133" s="27" t="str">
        <f t="shared" ca="1" si="3"/>
        <v/>
      </c>
    </row>
    <row r="134" spans="1:5" x14ac:dyDescent="0.2">
      <c r="A134" s="27" t="str">
        <f ca="1">'384 Well qPCR Layout'!P7</f>
        <v>BarLP7C (1:1000)</v>
      </c>
      <c r="B134" s="61">
        <f ca="1">IF(A134="", "",'Paste Sample Names Here'!$C$3)</f>
        <v>1000</v>
      </c>
      <c r="C134" s="27">
        <f ca="1">IF(A134="", "", OFFSET('Paste qPCR Data Here'!$F$24, 24*Sheet3!B49, 0))</f>
        <v>7.4289999008178711</v>
      </c>
      <c r="D134" s="27">
        <f t="shared" ca="1" si="2"/>
        <v>50.515046152797474</v>
      </c>
      <c r="E134" s="27">
        <f t="shared" ca="1" si="3"/>
        <v>50515.046152797477</v>
      </c>
    </row>
    <row r="135" spans="1:5" x14ac:dyDescent="0.2">
      <c r="A135" s="27" t="str">
        <f ca="1">'384 Well qPCR Layout'!P8</f>
        <v/>
      </c>
      <c r="B135" s="62" t="str">
        <f ca="1">IF(A135="", "", 'Paste Sample Names Here'!$G$3)</f>
        <v/>
      </c>
      <c r="C135" s="27" t="str">
        <f ca="1">IF(A135="", "", OFFSET('Paste qPCR Data Here'!$F$24, 24*Sheet3!B50, 0))</f>
        <v/>
      </c>
      <c r="D135" s="27" t="str">
        <f t="shared" ca="1" si="2"/>
        <v/>
      </c>
      <c r="E135" s="27" t="str">
        <f t="shared" ca="1" si="3"/>
        <v/>
      </c>
    </row>
    <row r="136" spans="1:5" x14ac:dyDescent="0.2">
      <c r="A136" s="27" t="str">
        <f ca="1">'384 Well qPCR Layout'!P9</f>
        <v>BarLP8C (1:1000)</v>
      </c>
      <c r="B136" s="61">
        <f ca="1">IF(A136="", "",'Paste Sample Names Here'!$C$3)</f>
        <v>1000</v>
      </c>
      <c r="C136" s="27">
        <f ca="1">IF(A136="", "", OFFSET('Paste qPCR Data Here'!$F$24, 24*Sheet3!B51, 0))</f>
        <v>6.9730000495910645</v>
      </c>
      <c r="D136" s="27">
        <f t="shared" ca="1" si="2"/>
        <v>67.370357474536888</v>
      </c>
      <c r="E136" s="27">
        <f t="shared" ca="1" si="3"/>
        <v>67370.357474536882</v>
      </c>
    </row>
    <row r="137" spans="1:5" x14ac:dyDescent="0.2">
      <c r="A137" s="27" t="str">
        <f ca="1">'384 Well qPCR Layout'!P10</f>
        <v/>
      </c>
      <c r="B137" s="62" t="str">
        <f ca="1">IF(A137="", "", 'Paste Sample Names Here'!$G$3)</f>
        <v/>
      </c>
      <c r="C137" s="27" t="str">
        <f ca="1">IF(A137="", "", OFFSET('Paste qPCR Data Here'!$F$24, 24*Sheet3!B52, 0))</f>
        <v/>
      </c>
      <c r="D137" s="27" t="str">
        <f t="shared" ca="1" si="2"/>
        <v/>
      </c>
      <c r="E137" s="27" t="str">
        <f t="shared" ca="1" si="3"/>
        <v/>
      </c>
    </row>
    <row r="138" spans="1:5" x14ac:dyDescent="0.2">
      <c r="A138" s="27" t="str">
        <f ca="1">'384 Well qPCR Layout'!P11</f>
        <v>BarLP9C (1:1000)</v>
      </c>
      <c r="B138" s="61">
        <f ca="1">IF(A138="", "",'Paste Sample Names Here'!$C$3)</f>
        <v>1000</v>
      </c>
      <c r="C138" s="27">
        <f ca="1">IF(A138="", "", OFFSET('Paste qPCR Data Here'!$F$24, 24*Sheet3!B53, 0))</f>
        <v>6.870999813079834</v>
      </c>
      <c r="D138" s="27">
        <f t="shared" ca="1" si="2"/>
        <v>71.852223274863988</v>
      </c>
      <c r="E138" s="27">
        <f t="shared" ca="1" si="3"/>
        <v>71852.223274863994</v>
      </c>
    </row>
    <row r="139" spans="1:5" x14ac:dyDescent="0.2">
      <c r="A139" s="27" t="str">
        <f ca="1">'384 Well qPCR Layout'!P12</f>
        <v/>
      </c>
      <c r="B139" s="62" t="str">
        <f ca="1">IF(A139="", "", 'Paste Sample Names Here'!$G$3)</f>
        <v/>
      </c>
      <c r="C139" s="27" t="str">
        <f ca="1">IF(A139="", "", OFFSET('Paste qPCR Data Here'!$F$24, 24*Sheet3!B54, 0))</f>
        <v/>
      </c>
      <c r="D139" s="27" t="str">
        <f t="shared" ca="1" si="2"/>
        <v/>
      </c>
      <c r="E139" s="27" t="str">
        <f t="shared" ca="1" si="3"/>
        <v/>
      </c>
    </row>
    <row r="140" spans="1:5" x14ac:dyDescent="0.2">
      <c r="A140" s="27" t="str">
        <f ca="1">'384 Well qPCR Layout'!P13</f>
        <v>BarLP10C (1:1000)</v>
      </c>
      <c r="B140" s="61">
        <f ca="1">IF(A140="", "",'Paste Sample Names Here'!$C$3)</f>
        <v>1000</v>
      </c>
      <c r="C140" s="27">
        <f ca="1">IF(A140="", "", OFFSET('Paste qPCR Data Here'!$F$24, 24*Sheet3!B55, 0))</f>
        <v>7.2600002288818359</v>
      </c>
      <c r="D140" s="27">
        <f t="shared" ca="1" si="2"/>
        <v>56.203745599678946</v>
      </c>
      <c r="E140" s="27">
        <f t="shared" ca="1" si="3"/>
        <v>56203.745599678943</v>
      </c>
    </row>
    <row r="141" spans="1:5" x14ac:dyDescent="0.2">
      <c r="A141" s="27" t="str">
        <f ca="1">'384 Well qPCR Layout'!P14</f>
        <v/>
      </c>
      <c r="B141" s="62" t="str">
        <f ca="1">IF(A141="", "", 'Paste Sample Names Here'!$G$3)</f>
        <v/>
      </c>
      <c r="C141" s="27" t="str">
        <f ca="1">IF(A141="", "", OFFSET('Paste qPCR Data Here'!$F$24, 24*Sheet3!B56, 0))</f>
        <v/>
      </c>
      <c r="D141" s="27" t="str">
        <f t="shared" ca="1" si="2"/>
        <v/>
      </c>
      <c r="E141" s="27" t="str">
        <f t="shared" ca="1" si="3"/>
        <v/>
      </c>
    </row>
    <row r="142" spans="1:5" x14ac:dyDescent="0.2">
      <c r="A142" s="27" t="str">
        <f ca="1">'384 Well qPCR Layout'!P15</f>
        <v>BarLP11C (1:1000)</v>
      </c>
      <c r="B142" s="61">
        <f ca="1">IF(A142="", "",'Paste Sample Names Here'!$C$3)</f>
        <v>1000</v>
      </c>
      <c r="C142" s="27">
        <f ca="1">IF(A142="", "", OFFSET('Paste qPCR Data Here'!$F$24, 24*Sheet3!B57, 0))</f>
        <v>7.869999885559082</v>
      </c>
      <c r="D142" s="27">
        <f t="shared" ca="1" si="2"/>
        <v>38.237196726358633</v>
      </c>
      <c r="E142" s="27">
        <f t="shared" ca="1" si="3"/>
        <v>38237.196726358634</v>
      </c>
    </row>
    <row r="143" spans="1:5" x14ac:dyDescent="0.2">
      <c r="A143" s="27" t="str">
        <f ca="1">'384 Well qPCR Layout'!P16</f>
        <v/>
      </c>
      <c r="B143" s="62" t="str">
        <f ca="1">IF(A143="", "", 'Paste Sample Names Here'!$G$3)</f>
        <v/>
      </c>
      <c r="C143" s="27" t="str">
        <f ca="1">IF(A143="", "", OFFSET('Paste qPCR Data Here'!$F$24, 24*Sheet3!B58, 0))</f>
        <v/>
      </c>
      <c r="D143" s="27" t="str">
        <f t="shared" ca="1" si="2"/>
        <v/>
      </c>
      <c r="E143" s="27" t="str">
        <f t="shared" ca="1" si="3"/>
        <v/>
      </c>
    </row>
    <row r="144" spans="1:5" x14ac:dyDescent="0.2">
      <c r="A144" s="27" t="str">
        <f ca="1">'384 Well qPCR Layout'!P17</f>
        <v>BarLP12C (1:1000)</v>
      </c>
      <c r="B144" s="61">
        <f ca="1">IF(A144="", "",'Paste Sample Names Here'!$C$3)</f>
        <v>1000</v>
      </c>
      <c r="C144" s="27">
        <f ca="1">IF(A144="", "", OFFSET('Paste qPCR Data Here'!$F$24, 24*Sheet3!B59, 0))</f>
        <v>6.7579998970031738</v>
      </c>
      <c r="D144" s="27">
        <f t="shared" ca="1" si="2"/>
        <v>77.166356317721949</v>
      </c>
      <c r="E144" s="27">
        <f t="shared" ca="1" si="3"/>
        <v>77166.356317721948</v>
      </c>
    </row>
    <row r="145" spans="1:5" x14ac:dyDescent="0.2">
      <c r="A145" s="27" t="str">
        <f ca="1">'384 Well qPCR Layout'!P18</f>
        <v/>
      </c>
      <c r="B145" s="62" t="str">
        <f ca="1">IF(A145="", "", 'Paste Sample Names Here'!$G$3)</f>
        <v/>
      </c>
      <c r="C145" s="27" t="str">
        <f ca="1">IF(A145="", "", OFFSET('Paste qPCR Data Here'!$F$24, 24*Sheet3!B60, 0))</f>
        <v/>
      </c>
      <c r="D145" s="27" t="str">
        <f t="shared" ca="1" si="2"/>
        <v/>
      </c>
      <c r="E145" s="27" t="str">
        <f t="shared" ca="1" si="3"/>
        <v/>
      </c>
    </row>
    <row r="146" spans="1:5" x14ac:dyDescent="0.2">
      <c r="A146" s="27" t="str">
        <f ca="1">'384 Well qPCR Layout'!R3</f>
        <v>BarLP13C (1:1000)</v>
      </c>
      <c r="B146" s="61">
        <f ca="1">IF(A146="", "",'Paste Sample Names Here'!$C$3)</f>
        <v>1000</v>
      </c>
      <c r="C146" s="27">
        <f ca="1">IF(A146="", "", OFFSET('Paste qPCR Data Here'!$F$26, 24*Sheet3!B45, 0))</f>
        <v>6.9840002059936523</v>
      </c>
      <c r="D146" s="27">
        <f t="shared" ca="1" si="2"/>
        <v>66.904032812275133</v>
      </c>
      <c r="E146" s="27">
        <f t="shared" ca="1" si="3"/>
        <v>66904.032812275138</v>
      </c>
    </row>
    <row r="147" spans="1:5" x14ac:dyDescent="0.2">
      <c r="A147" s="27" t="str">
        <f ca="1">'384 Well qPCR Layout'!R4</f>
        <v/>
      </c>
      <c r="B147" s="62" t="str">
        <f ca="1">IF(A147="", "", 'Paste Sample Names Here'!$G$3)</f>
        <v/>
      </c>
      <c r="C147" s="27" t="str">
        <f ca="1">IF(A147="", "", OFFSET('Paste qPCR Data Here'!$F$26, 24*Sheet3!B46, 0))</f>
        <v/>
      </c>
      <c r="D147" s="27" t="str">
        <f t="shared" ref="D147:D210" ca="1" si="4">IF(C147="", "", 2^(SLOPE(LOG($B$4:$B$7,2),$C$4:$C$7)*C147+INTERCEPT(LOG($B$4:$B$7,2),$C$4:$C$7)))</f>
        <v/>
      </c>
      <c r="E147" s="27" t="str">
        <f t="shared" ref="E147:E210" ca="1" si="5">IF(C147="", "", D147*B147)</f>
        <v/>
      </c>
    </row>
    <row r="148" spans="1:5" x14ac:dyDescent="0.2">
      <c r="A148" s="27" t="str">
        <f ca="1">'384 Well qPCR Layout'!R5</f>
        <v>BarLP14C (1:1000)</v>
      </c>
      <c r="B148" s="61">
        <f ca="1">IF(A148="", "",'Paste Sample Names Here'!$C$3)</f>
        <v>1000</v>
      </c>
      <c r="C148" s="27">
        <f ca="1">IF(A148="", "", OFFSET('Paste qPCR Data Here'!$F$26, 24*Sheet3!B47, 0))</f>
        <v>6.9439997673034668</v>
      </c>
      <c r="D148" s="27">
        <f t="shared" ca="1" si="4"/>
        <v>68.61539250798505</v>
      </c>
      <c r="E148" s="27">
        <f t="shared" ca="1" si="5"/>
        <v>68615.392507985045</v>
      </c>
    </row>
    <row r="149" spans="1:5" x14ac:dyDescent="0.2">
      <c r="A149" s="27" t="str">
        <f ca="1">'384 Well qPCR Layout'!R6</f>
        <v/>
      </c>
      <c r="B149" s="62" t="str">
        <f ca="1">IF(A149="", "", 'Paste Sample Names Here'!$G$3)</f>
        <v/>
      </c>
      <c r="C149" s="27" t="str">
        <f ca="1">IF(A149="", "", OFFSET('Paste qPCR Data Here'!$F$26, 24*Sheet3!B48, 0))</f>
        <v/>
      </c>
      <c r="D149" s="27" t="str">
        <f t="shared" ca="1" si="4"/>
        <v/>
      </c>
      <c r="E149" s="27" t="str">
        <f t="shared" ca="1" si="5"/>
        <v/>
      </c>
    </row>
    <row r="150" spans="1:5" x14ac:dyDescent="0.2">
      <c r="A150" s="27" t="str">
        <f ca="1">'384 Well qPCR Layout'!R7</f>
        <v>BarLP15C (1:1000)</v>
      </c>
      <c r="B150" s="61">
        <f ca="1">IF(A150="", "",'Paste Sample Names Here'!$C$3)</f>
        <v>1000</v>
      </c>
      <c r="C150" s="27">
        <f ca="1">IF(A150="", "", OFFSET('Paste qPCR Data Here'!$F$26, 24*Sheet3!B49, 0))</f>
        <v>7.7769999504089355</v>
      </c>
      <c r="D150" s="27">
        <f t="shared" ca="1" si="4"/>
        <v>40.549851344854176</v>
      </c>
      <c r="E150" s="27">
        <f t="shared" ca="1" si="5"/>
        <v>40549.851344854178</v>
      </c>
    </row>
    <row r="151" spans="1:5" x14ac:dyDescent="0.2">
      <c r="A151" s="27" t="str">
        <f ca="1">'384 Well qPCR Layout'!R8</f>
        <v/>
      </c>
      <c r="B151" s="62" t="str">
        <f ca="1">IF(A151="", "", 'Paste Sample Names Here'!$G$3)</f>
        <v/>
      </c>
      <c r="C151" s="27" t="str">
        <f ca="1">IF(A151="", "", OFFSET('Paste qPCR Data Here'!$F$26, 24*Sheet3!B50, 0))</f>
        <v/>
      </c>
      <c r="D151" s="27" t="str">
        <f t="shared" ca="1" si="4"/>
        <v/>
      </c>
      <c r="E151" s="27" t="str">
        <f t="shared" ca="1" si="5"/>
        <v/>
      </c>
    </row>
    <row r="152" spans="1:5" x14ac:dyDescent="0.2">
      <c r="A152" s="27" t="str">
        <f ca="1">'384 Well qPCR Layout'!R9</f>
        <v>BarLP16C (1:1000)</v>
      </c>
      <c r="B152" s="61">
        <f ca="1">IF(A152="", "",'Paste Sample Names Here'!$C$3)</f>
        <v>1000</v>
      </c>
      <c r="C152" s="27">
        <f ca="1">IF(A152="", "", OFFSET('Paste qPCR Data Here'!$F$26, 24*Sheet3!B51, 0))</f>
        <v>7.5</v>
      </c>
      <c r="D152" s="27">
        <f t="shared" ca="1" si="4"/>
        <v>48.3003760885316</v>
      </c>
      <c r="E152" s="27">
        <f t="shared" ca="1" si="5"/>
        <v>48300.376088531601</v>
      </c>
    </row>
    <row r="153" spans="1:5" x14ac:dyDescent="0.2">
      <c r="A153" s="27" t="str">
        <f ca="1">'384 Well qPCR Layout'!R10</f>
        <v/>
      </c>
      <c r="B153" s="62" t="str">
        <f ca="1">IF(A153="", "", 'Paste Sample Names Here'!$G$3)</f>
        <v/>
      </c>
      <c r="C153" s="27" t="str">
        <f ca="1">IF(A153="", "", OFFSET('Paste qPCR Data Here'!$F$26, 24*Sheet3!B52, 0))</f>
        <v/>
      </c>
      <c r="D153" s="27" t="str">
        <f t="shared" ca="1" si="4"/>
        <v/>
      </c>
      <c r="E153" s="27" t="str">
        <f t="shared" ca="1" si="5"/>
        <v/>
      </c>
    </row>
    <row r="154" spans="1:5" x14ac:dyDescent="0.2">
      <c r="A154" s="27" t="str">
        <f ca="1">'384 Well qPCR Layout'!R11</f>
        <v>BarLP17C (1:1000)</v>
      </c>
      <c r="B154" s="61">
        <f ca="1">IF(A154="", "",'Paste Sample Names Here'!$C$3)</f>
        <v>1000</v>
      </c>
      <c r="C154" s="27">
        <f ca="1">IF(A154="", "", OFFSET('Paste qPCR Data Here'!$F$26, 24*Sheet3!B53, 0))</f>
        <v>6.9809999465942383</v>
      </c>
      <c r="D154" s="27">
        <f t="shared" ca="1" si="4"/>
        <v>67.030900382356336</v>
      </c>
      <c r="E154" s="27">
        <f t="shared" ca="1" si="5"/>
        <v>67030.90038235634</v>
      </c>
    </row>
    <row r="155" spans="1:5" x14ac:dyDescent="0.2">
      <c r="A155" s="27" t="str">
        <f ca="1">'384 Well qPCR Layout'!R12</f>
        <v/>
      </c>
      <c r="B155" s="62" t="str">
        <f ca="1">IF(A155="", "", 'Paste Sample Names Here'!$G$3)</f>
        <v/>
      </c>
      <c r="C155" s="27" t="str">
        <f ca="1">IF(A155="", "", OFFSET('Paste qPCR Data Here'!$F$26, 24*Sheet3!B54, 0))</f>
        <v/>
      </c>
      <c r="D155" s="27" t="str">
        <f t="shared" ca="1" si="4"/>
        <v/>
      </c>
      <c r="E155" s="27" t="str">
        <f t="shared" ca="1" si="5"/>
        <v/>
      </c>
    </row>
    <row r="156" spans="1:5" x14ac:dyDescent="0.2">
      <c r="A156" s="27" t="str">
        <f ca="1">'384 Well qPCR Layout'!R13</f>
        <v>BarLP18C (1:1000)</v>
      </c>
      <c r="B156" s="61">
        <f ca="1">IF(A156="", "",'Paste Sample Names Here'!$C$3)</f>
        <v>1000</v>
      </c>
      <c r="C156" s="27">
        <f ca="1">IF(A156="", "", OFFSET('Paste qPCR Data Here'!$F$26, 24*Sheet3!B55, 0))</f>
        <v>7.0110001564025879</v>
      </c>
      <c r="D156" s="27">
        <f t="shared" ca="1" si="4"/>
        <v>65.773074690876726</v>
      </c>
      <c r="E156" s="27">
        <f t="shared" ca="1" si="5"/>
        <v>65773.074690876732</v>
      </c>
    </row>
    <row r="157" spans="1:5" x14ac:dyDescent="0.2">
      <c r="A157" s="27" t="str">
        <f ca="1">'384 Well qPCR Layout'!R14</f>
        <v/>
      </c>
      <c r="B157" s="62" t="str">
        <f ca="1">IF(A157="", "", 'Paste Sample Names Here'!$G$3)</f>
        <v/>
      </c>
      <c r="C157" s="27" t="str">
        <f ca="1">IF(A157="", "", OFFSET('Paste qPCR Data Here'!$F$26, 24*Sheet3!B56, 0))</f>
        <v/>
      </c>
      <c r="D157" s="27" t="str">
        <f t="shared" ca="1" si="4"/>
        <v/>
      </c>
      <c r="E157" s="27" t="str">
        <f t="shared" ca="1" si="5"/>
        <v/>
      </c>
    </row>
    <row r="158" spans="1:5" x14ac:dyDescent="0.2">
      <c r="A158" s="27" t="str">
        <f ca="1">'384 Well qPCR Layout'!R15</f>
        <v>BarLP5H (1:1000)</v>
      </c>
      <c r="B158" s="61">
        <f ca="1">IF(A158="", "",'Paste Sample Names Here'!$C$3)</f>
        <v>1000</v>
      </c>
      <c r="C158" s="27">
        <f ca="1">IF(A158="", "", OFFSET('Paste qPCR Data Here'!$F$26, 24*Sheet3!B57, 0))</f>
        <v>10.305000305175781</v>
      </c>
      <c r="D158" s="27">
        <f t="shared" ca="1" si="4"/>
        <v>8.2175024108822772</v>
      </c>
      <c r="E158" s="27">
        <f t="shared" ca="1" si="5"/>
        <v>8217.5024108822763</v>
      </c>
    </row>
    <row r="159" spans="1:5" x14ac:dyDescent="0.2">
      <c r="A159" s="27" t="str">
        <f ca="1">'384 Well qPCR Layout'!R16</f>
        <v/>
      </c>
      <c r="B159" s="62" t="str">
        <f ca="1">IF(A159="", "", 'Paste Sample Names Here'!$G$3)</f>
        <v/>
      </c>
      <c r="C159" s="27" t="str">
        <f ca="1">IF(A159="", "", OFFSET('Paste qPCR Data Here'!$F$26, 24*Sheet3!B58, 0))</f>
        <v/>
      </c>
      <c r="D159" s="27" t="str">
        <f t="shared" ca="1" si="4"/>
        <v/>
      </c>
      <c r="E159" s="27" t="str">
        <f t="shared" ca="1" si="5"/>
        <v/>
      </c>
    </row>
    <row r="160" spans="1:5" x14ac:dyDescent="0.2">
      <c r="A160" s="27" t="str">
        <f ca="1">'384 Well qPCR Layout'!R17</f>
        <v>BarLP6H (1:1000)</v>
      </c>
      <c r="B160" s="61">
        <f ca="1">IF(A160="", "",'Paste Sample Names Here'!$C$3)</f>
        <v>1000</v>
      </c>
      <c r="C160" s="27">
        <f ca="1">IF(A160="", "", OFFSET('Paste qPCR Data Here'!$F$26, 24*Sheet3!B59, 0))</f>
        <v>9.4200000762939453</v>
      </c>
      <c r="D160" s="27">
        <f t="shared" ca="1" si="4"/>
        <v>14.369180946663926</v>
      </c>
      <c r="E160" s="27">
        <f t="shared" ca="1" si="5"/>
        <v>14369.180946663926</v>
      </c>
    </row>
    <row r="161" spans="1:5" x14ac:dyDescent="0.2">
      <c r="A161" s="27" t="str">
        <f ca="1">'384 Well qPCR Layout'!R18</f>
        <v/>
      </c>
      <c r="B161" s="62" t="str">
        <f ca="1">IF(A161="", "", 'Paste Sample Names Here'!$G$3)</f>
        <v/>
      </c>
      <c r="C161" s="27" t="str">
        <f ca="1">IF(A161="", "", OFFSET('Paste qPCR Data Here'!$F$26, 24*Sheet3!B60, 0))</f>
        <v/>
      </c>
      <c r="D161" s="27" t="str">
        <f t="shared" ca="1" si="4"/>
        <v/>
      </c>
      <c r="E161" s="27" t="str">
        <f t="shared" ca="1" si="5"/>
        <v/>
      </c>
    </row>
    <row r="162" spans="1:5" x14ac:dyDescent="0.2">
      <c r="A162" s="27" t="str">
        <f ca="1">'384 Well qPCR Layout'!T3</f>
        <v>BarLP7H (1:1000)</v>
      </c>
      <c r="B162" s="61">
        <f ca="1">IF(A162="", "",'Paste Sample Names Here'!$C$3)</f>
        <v>1000</v>
      </c>
      <c r="C162" s="27">
        <f ca="1">IF(A162="", "", OFFSET('Paste qPCR Data Here'!$F$28, 24*Sheet3!B45, 0))</f>
        <v>8.1879997253417969</v>
      </c>
      <c r="D162" s="27">
        <f t="shared" ca="1" si="4"/>
        <v>31.281060377455738</v>
      </c>
      <c r="E162" s="27">
        <f t="shared" ca="1" si="5"/>
        <v>31281.060377455738</v>
      </c>
    </row>
    <row r="163" spans="1:5" x14ac:dyDescent="0.2">
      <c r="A163" s="27" t="str">
        <f ca="1">'384 Well qPCR Layout'!T4</f>
        <v/>
      </c>
      <c r="B163" s="62" t="str">
        <f ca="1">IF(A163="", "", 'Paste Sample Names Here'!$G$3)</f>
        <v/>
      </c>
      <c r="C163" s="27" t="str">
        <f ca="1">IF(A163="", "", OFFSET('Paste qPCR Data Here'!$F$28, 24*Sheet3!B46, 0))</f>
        <v/>
      </c>
      <c r="D163" s="27" t="str">
        <f t="shared" ca="1" si="4"/>
        <v/>
      </c>
      <c r="E163" s="27" t="str">
        <f t="shared" ca="1" si="5"/>
        <v/>
      </c>
    </row>
    <row r="164" spans="1:5" x14ac:dyDescent="0.2">
      <c r="A164" s="27" t="str">
        <f ca="1">'384 Well qPCR Layout'!T5</f>
        <v>BarLP8H (1:1000)</v>
      </c>
      <c r="B164" s="61">
        <f ca="1">IF(A164="", "",'Paste Sample Names Here'!$C$3)</f>
        <v>1000</v>
      </c>
      <c r="C164" s="27">
        <f ca="1">IF(A164="", "", OFFSET('Paste qPCR Data Here'!$F$28, 24*Sheet3!B47, 0))</f>
        <v>7.8629999160766602</v>
      </c>
      <c r="D164" s="27">
        <f t="shared" ca="1" si="4"/>
        <v>38.406579959267113</v>
      </c>
      <c r="E164" s="27">
        <f t="shared" ca="1" si="5"/>
        <v>38406.57995926711</v>
      </c>
    </row>
    <row r="165" spans="1:5" x14ac:dyDescent="0.2">
      <c r="A165" s="27" t="str">
        <f ca="1">'384 Well qPCR Layout'!T6</f>
        <v/>
      </c>
      <c r="B165" s="62" t="str">
        <f ca="1">IF(A165="", "", 'Paste Sample Names Here'!$G$3)</f>
        <v/>
      </c>
      <c r="C165" s="27" t="str">
        <f ca="1">IF(A165="", "", OFFSET('Paste qPCR Data Here'!$F$28, 24*Sheet3!B48, 0))</f>
        <v/>
      </c>
      <c r="D165" s="27" t="str">
        <f t="shared" ca="1" si="4"/>
        <v/>
      </c>
      <c r="E165" s="27" t="str">
        <f t="shared" ca="1" si="5"/>
        <v/>
      </c>
    </row>
    <row r="166" spans="1:5" x14ac:dyDescent="0.2">
      <c r="A166" s="27" t="str">
        <f ca="1">'384 Well qPCR Layout'!T7</f>
        <v>BarLP9H (1:1000)</v>
      </c>
      <c r="B166" s="61">
        <f ca="1">IF(A166="", "",'Paste Sample Names Here'!$C$3)</f>
        <v>1000</v>
      </c>
      <c r="C166" s="27">
        <f ca="1">IF(A166="", "", OFFSET('Paste qPCR Data Here'!$F$28, 24*Sheet3!B49, 0))</f>
        <v>8.1210002899169922</v>
      </c>
      <c r="D166" s="27">
        <f t="shared" ca="1" si="4"/>
        <v>32.632820549308043</v>
      </c>
      <c r="E166" s="27">
        <f t="shared" ca="1" si="5"/>
        <v>32632.820549308042</v>
      </c>
    </row>
    <row r="167" spans="1:5" x14ac:dyDescent="0.2">
      <c r="A167" s="27" t="str">
        <f ca="1">'384 Well qPCR Layout'!T8</f>
        <v/>
      </c>
      <c r="B167" s="62" t="str">
        <f ca="1">IF(A167="", "", 'Paste Sample Names Here'!$G$3)</f>
        <v/>
      </c>
      <c r="C167" s="27" t="str">
        <f ca="1">IF(A167="", "", OFFSET('Paste qPCR Data Here'!$F$28, 24*Sheet3!B50, 0))</f>
        <v/>
      </c>
      <c r="D167" s="27" t="str">
        <f t="shared" ca="1" si="4"/>
        <v/>
      </c>
      <c r="E167" s="27" t="str">
        <f t="shared" ca="1" si="5"/>
        <v/>
      </c>
    </row>
    <row r="168" spans="1:5" x14ac:dyDescent="0.2">
      <c r="A168" s="27" t="str">
        <f ca="1">'384 Well qPCR Layout'!T9</f>
        <v>BarLP10H (1:1000)</v>
      </c>
      <c r="B168" s="61">
        <f ca="1">IF(A168="", "",'Paste Sample Names Here'!$C$3)</f>
        <v>1000</v>
      </c>
      <c r="C168" s="27">
        <f ca="1">IF(A168="", "", OFFSET('Paste qPCR Data Here'!$F$28, 24*Sheet3!B51, 0))</f>
        <v>6.9840002059936523</v>
      </c>
      <c r="D168" s="27">
        <f t="shared" ca="1" si="4"/>
        <v>66.904032812275133</v>
      </c>
      <c r="E168" s="27">
        <f t="shared" ca="1" si="5"/>
        <v>66904.032812275138</v>
      </c>
    </row>
    <row r="169" spans="1:5" x14ac:dyDescent="0.2">
      <c r="A169" s="27" t="str">
        <f ca="1">'384 Well qPCR Layout'!T10</f>
        <v/>
      </c>
      <c r="B169" s="62" t="str">
        <f ca="1">IF(A169="", "", 'Paste Sample Names Here'!$G$3)</f>
        <v/>
      </c>
      <c r="C169" s="27" t="str">
        <f ca="1">IF(A169="", "", OFFSET('Paste qPCR Data Here'!$F$28, 24*Sheet3!B52, 0))</f>
        <v/>
      </c>
      <c r="D169" s="27" t="str">
        <f t="shared" ca="1" si="4"/>
        <v/>
      </c>
      <c r="E169" s="27" t="str">
        <f t="shared" ca="1" si="5"/>
        <v/>
      </c>
    </row>
    <row r="170" spans="1:5" x14ac:dyDescent="0.2">
      <c r="A170" s="27" t="str">
        <f ca="1">'384 Well qPCR Layout'!T11</f>
        <v>BarLP11H (1:1000)</v>
      </c>
      <c r="B170" s="61">
        <f ca="1">IF(A170="", "",'Paste Sample Names Here'!$C$3)</f>
        <v>1000</v>
      </c>
      <c r="C170" s="27">
        <f ca="1">IF(A170="", "", OFFSET('Paste qPCR Data Here'!$F$28, 24*Sheet3!B53, 0))</f>
        <v>6.5359997749328613</v>
      </c>
      <c r="D170" s="27">
        <f t="shared" ca="1" si="4"/>
        <v>88.778279947282471</v>
      </c>
      <c r="E170" s="27">
        <f t="shared" ca="1" si="5"/>
        <v>88778.27994728247</v>
      </c>
    </row>
    <row r="171" spans="1:5" x14ac:dyDescent="0.2">
      <c r="A171" s="27" t="str">
        <f ca="1">'384 Well qPCR Layout'!T12</f>
        <v/>
      </c>
      <c r="B171" s="62" t="str">
        <f ca="1">IF(A171="", "", 'Paste Sample Names Here'!$G$3)</f>
        <v/>
      </c>
      <c r="C171" s="27" t="str">
        <f ca="1">IF(A171="", "", OFFSET('Paste qPCR Data Here'!$F$28, 24*Sheet3!B54, 0))</f>
        <v/>
      </c>
      <c r="D171" s="27" t="str">
        <f t="shared" ca="1" si="4"/>
        <v/>
      </c>
      <c r="E171" s="27" t="str">
        <f t="shared" ca="1" si="5"/>
        <v/>
      </c>
    </row>
    <row r="172" spans="1:5" x14ac:dyDescent="0.2">
      <c r="A172" s="27" t="str">
        <f ca="1">'384 Well qPCR Layout'!T13</f>
        <v>BarLP12H (1:1000)</v>
      </c>
      <c r="B172" s="61">
        <f ca="1">IF(A172="", "",'Paste Sample Names Here'!$C$3)</f>
        <v>1000</v>
      </c>
      <c r="C172" s="27">
        <f ca="1">IF(A172="", "", OFFSET('Paste qPCR Data Here'!$F$28, 24*Sheet3!B55, 0))</f>
        <v>7.3810000419616699</v>
      </c>
      <c r="D172" s="27">
        <f t="shared" ca="1" si="4"/>
        <v>52.069532370570684</v>
      </c>
      <c r="E172" s="27">
        <f t="shared" ca="1" si="5"/>
        <v>52069.532370570683</v>
      </c>
    </row>
    <row r="173" spans="1:5" x14ac:dyDescent="0.2">
      <c r="A173" s="27" t="str">
        <f ca="1">'384 Well qPCR Layout'!T14</f>
        <v/>
      </c>
      <c r="B173" s="62" t="str">
        <f ca="1">IF(A173="", "", 'Paste Sample Names Here'!$G$3)</f>
        <v/>
      </c>
      <c r="C173" s="27" t="str">
        <f ca="1">IF(A173="", "", OFFSET('Paste qPCR Data Here'!$F$28, 24*Sheet3!B56, 0))</f>
        <v/>
      </c>
      <c r="D173" s="27" t="str">
        <f t="shared" ca="1" si="4"/>
        <v/>
      </c>
      <c r="E173" s="27" t="str">
        <f t="shared" ca="1" si="5"/>
        <v/>
      </c>
    </row>
    <row r="174" spans="1:5" x14ac:dyDescent="0.2">
      <c r="A174" s="27" t="str">
        <f ca="1">'384 Well qPCR Layout'!T15</f>
        <v>BarLP13H (1:1000)</v>
      </c>
      <c r="B174" s="61">
        <f ca="1">IF(A174="", "",'Paste Sample Names Here'!$C$3)</f>
        <v>1000</v>
      </c>
      <c r="C174" s="27">
        <f ca="1">IF(A174="", "", OFFSET('Paste qPCR Data Here'!$F$28, 24*Sheet3!B57, 0))</f>
        <v>7.3350000381469727</v>
      </c>
      <c r="D174" s="27">
        <f t="shared" ca="1" si="4"/>
        <v>53.604121585727846</v>
      </c>
      <c r="E174" s="27">
        <f t="shared" ca="1" si="5"/>
        <v>53604.121585727844</v>
      </c>
    </row>
    <row r="175" spans="1:5" x14ac:dyDescent="0.2">
      <c r="A175" s="27" t="str">
        <f ca="1">'384 Well qPCR Layout'!T16</f>
        <v/>
      </c>
      <c r="B175" s="62" t="str">
        <f ca="1">IF(A175="", "", 'Paste Sample Names Here'!$G$3)</f>
        <v/>
      </c>
      <c r="C175" s="27" t="str">
        <f ca="1">IF(A175="", "", OFFSET('Paste qPCR Data Here'!$F$28, 24*Sheet3!B58, 0))</f>
        <v/>
      </c>
      <c r="D175" s="27" t="str">
        <f t="shared" ca="1" si="4"/>
        <v/>
      </c>
      <c r="E175" s="27" t="str">
        <f t="shared" ca="1" si="5"/>
        <v/>
      </c>
    </row>
    <row r="176" spans="1:5" x14ac:dyDescent="0.2">
      <c r="A176" s="27" t="str">
        <f ca="1">'384 Well qPCR Layout'!T17</f>
        <v>BarLP14H (1:1000)</v>
      </c>
      <c r="B176" s="61">
        <f ca="1">IF(A176="", "",'Paste Sample Names Here'!$C$3)</f>
        <v>1000</v>
      </c>
      <c r="C176" s="27">
        <f ca="1">IF(A176="", "", OFFSET('Paste qPCR Data Here'!$F$28, 24*Sheet3!B59, 0))</f>
        <v>7.744999885559082</v>
      </c>
      <c r="D176" s="27">
        <f t="shared" ca="1" si="4"/>
        <v>41.377532853671418</v>
      </c>
      <c r="E176" s="27">
        <f t="shared" ca="1" si="5"/>
        <v>41377.532853671415</v>
      </c>
    </row>
    <row r="177" spans="1:5" x14ac:dyDescent="0.2">
      <c r="A177" s="27" t="str">
        <f ca="1">'384 Well qPCR Layout'!T18</f>
        <v/>
      </c>
      <c r="B177" s="62" t="str">
        <f ca="1">IF(A177="", "", 'Paste Sample Names Here'!$G$3)</f>
        <v/>
      </c>
      <c r="C177" s="27" t="str">
        <f ca="1">IF(A177="", "", OFFSET('Paste qPCR Data Here'!$F$28, 24*Sheet3!B60, 0))</f>
        <v/>
      </c>
      <c r="D177" s="27" t="str">
        <f t="shared" ca="1" si="4"/>
        <v/>
      </c>
      <c r="E177" s="27" t="str">
        <f t="shared" ca="1" si="5"/>
        <v/>
      </c>
    </row>
    <row r="178" spans="1:5" x14ac:dyDescent="0.2">
      <c r="A178" s="27" t="str">
        <f ca="1">'384 Well qPCR Layout'!V3</f>
        <v>BarLP15H (1:1000)</v>
      </c>
      <c r="B178" s="61">
        <f ca="1">IF(A178="", "",'Paste Sample Names Here'!$C$3)</f>
        <v>1000</v>
      </c>
      <c r="C178" s="27">
        <f ca="1">IF(A178="", "", OFFSET('Paste qPCR Data Here'!$F$30, 24*Sheet3!B45, 0))</f>
        <v>6.4879999160766602</v>
      </c>
      <c r="D178" s="27">
        <f t="shared" ca="1" si="4"/>
        <v>91.510230586270808</v>
      </c>
      <c r="E178" s="27">
        <f t="shared" ca="1" si="5"/>
        <v>91510.230586270802</v>
      </c>
    </row>
    <row r="179" spans="1:5" x14ac:dyDescent="0.2">
      <c r="A179" s="27" t="str">
        <f ca="1">'384 Well qPCR Layout'!V4</f>
        <v/>
      </c>
      <c r="B179" s="62" t="str">
        <f ca="1">IF(A179="", "", 'Paste Sample Names Here'!$G$3)</f>
        <v/>
      </c>
      <c r="C179" s="27" t="str">
        <f ca="1">IF(A179="", "", OFFSET('Paste qPCR Data Here'!$F$30, 24*Sheet3!B46, 0))</f>
        <v/>
      </c>
      <c r="D179" s="27" t="str">
        <f t="shared" ca="1" si="4"/>
        <v/>
      </c>
      <c r="E179" s="27" t="str">
        <f t="shared" ca="1" si="5"/>
        <v/>
      </c>
    </row>
    <row r="180" spans="1:5" x14ac:dyDescent="0.2">
      <c r="A180" s="27" t="str">
        <f ca="1">'384 Well qPCR Layout'!V5</f>
        <v>BarLP16H (1:1000)</v>
      </c>
      <c r="B180" s="61">
        <f ca="1">IF(A180="", "",'Paste Sample Names Here'!$C$3)</f>
        <v>1000</v>
      </c>
      <c r="C180" s="27">
        <f ca="1">IF(A180="", "", OFFSET('Paste qPCR Data Here'!$F$30, 24*Sheet3!B47, 0))</f>
        <v>5.1100001335144043</v>
      </c>
      <c r="D180" s="27">
        <f t="shared" ca="1" si="4"/>
        <v>218.45213278492801</v>
      </c>
      <c r="E180" s="27">
        <f t="shared" ca="1" si="5"/>
        <v>218452.13278492802</v>
      </c>
    </row>
    <row r="181" spans="1:5" x14ac:dyDescent="0.2">
      <c r="A181" s="27" t="str">
        <f ca="1">'384 Well qPCR Layout'!V6</f>
        <v/>
      </c>
      <c r="B181" s="62" t="str">
        <f ca="1">IF(A181="", "", 'Paste Sample Names Here'!$G$3)</f>
        <v/>
      </c>
      <c r="C181" s="27" t="str">
        <f ca="1">IF(A181="", "", OFFSET('Paste qPCR Data Here'!$F$30, 24*Sheet3!B48, 0))</f>
        <v/>
      </c>
      <c r="D181" s="27" t="str">
        <f t="shared" ca="1" si="4"/>
        <v/>
      </c>
      <c r="E181" s="27" t="str">
        <f t="shared" ca="1" si="5"/>
        <v/>
      </c>
    </row>
    <row r="182" spans="1:5" x14ac:dyDescent="0.2">
      <c r="A182" s="27" t="str">
        <f ca="1">'384 Well qPCR Layout'!V7</f>
        <v>BarLP17H (1:1000)</v>
      </c>
      <c r="B182" s="61">
        <f ca="1">IF(A182="", "",'Paste Sample Names Here'!$C$3)</f>
        <v>1000</v>
      </c>
      <c r="C182" s="27">
        <f ca="1">IF(A182="", "", OFFSET('Paste qPCR Data Here'!$F$30, 24*Sheet3!B49, 0))</f>
        <v>7.0710000991821289</v>
      </c>
      <c r="D182" s="27">
        <f t="shared" ca="1" si="4"/>
        <v>63.327808251627438</v>
      </c>
      <c r="E182" s="27">
        <f t="shared" ca="1" si="5"/>
        <v>63327.808251627437</v>
      </c>
    </row>
    <row r="183" spans="1:5" x14ac:dyDescent="0.2">
      <c r="A183" s="27" t="str">
        <f ca="1">'384 Well qPCR Layout'!V8</f>
        <v/>
      </c>
      <c r="B183" s="62" t="str">
        <f ca="1">IF(A183="", "", 'Paste Sample Names Here'!$G$3)</f>
        <v/>
      </c>
      <c r="C183" s="27" t="str">
        <f ca="1">IF(A183="", "", OFFSET('Paste qPCR Data Here'!$F$30, 24*Sheet3!B50, 0))</f>
        <v/>
      </c>
      <c r="D183" s="27" t="str">
        <f t="shared" ca="1" si="4"/>
        <v/>
      </c>
      <c r="E183" s="27" t="str">
        <f t="shared" ca="1" si="5"/>
        <v/>
      </c>
    </row>
    <row r="184" spans="1:5" x14ac:dyDescent="0.2">
      <c r="A184" s="27" t="str">
        <f ca="1">'384 Well qPCR Layout'!V9</f>
        <v>BarLP18H (1:1000)</v>
      </c>
      <c r="B184" s="61">
        <f ca="1">IF(A184="", "",'Paste Sample Names Here'!$C$3)</f>
        <v>1000</v>
      </c>
      <c r="C184" s="27">
        <f ca="1">IF(A184="", "", OFFSET('Paste qPCR Data Here'!$F$30, 24*Sheet3!B51, 0))</f>
        <v>7.3629999160766602</v>
      </c>
      <c r="D184" s="27">
        <f t="shared" ca="1" si="4"/>
        <v>52.664725222696497</v>
      </c>
      <c r="E184" s="27">
        <f t="shared" ca="1" si="5"/>
        <v>52664.725222696499</v>
      </c>
    </row>
    <row r="185" spans="1:5" x14ac:dyDescent="0.2">
      <c r="A185" s="27" t="str">
        <f ca="1">'384 Well qPCR Layout'!V10</f>
        <v/>
      </c>
      <c r="B185" s="62" t="str">
        <f ca="1">IF(A185="", "", 'Paste Sample Names Here'!$G$3)</f>
        <v/>
      </c>
      <c r="C185" s="27" t="str">
        <f ca="1">IF(A185="", "", OFFSET('Paste qPCR Data Here'!$F$30, 24*Sheet3!B52, 0))</f>
        <v/>
      </c>
      <c r="D185" s="27" t="str">
        <f t="shared" ca="1" si="4"/>
        <v/>
      </c>
      <c r="E185" s="27" t="str">
        <f t="shared" ca="1" si="5"/>
        <v/>
      </c>
    </row>
    <row r="186" spans="1:5" x14ac:dyDescent="0.2">
      <c r="A186" s="27" t="str">
        <f ca="1">'384 Well qPCR Layout'!V11</f>
        <v/>
      </c>
      <c r="B186" s="61" t="str">
        <f ca="1">IF(A186="", "",'Paste Sample Names Here'!$C$3)</f>
        <v/>
      </c>
      <c r="C186" s="27" t="str">
        <f ca="1">IF(A186="", "", OFFSET('Paste qPCR Data Here'!$F$30, 24*Sheet3!B53, 0))</f>
        <v/>
      </c>
      <c r="D186" s="27" t="str">
        <f t="shared" ca="1" si="4"/>
        <v/>
      </c>
      <c r="E186" s="27" t="str">
        <f t="shared" ca="1" si="5"/>
        <v/>
      </c>
    </row>
    <row r="187" spans="1:5" x14ac:dyDescent="0.2">
      <c r="A187" s="27" t="str">
        <f ca="1">'384 Well qPCR Layout'!V12</f>
        <v/>
      </c>
      <c r="B187" s="62" t="str">
        <f ca="1">IF(A187="", "", 'Paste Sample Names Here'!$G$3)</f>
        <v/>
      </c>
      <c r="C187" s="27" t="str">
        <f ca="1">IF(A187="", "", OFFSET('Paste qPCR Data Here'!$F$30, 24*Sheet3!B54, 0))</f>
        <v/>
      </c>
      <c r="D187" s="27" t="str">
        <f t="shared" ca="1" si="4"/>
        <v/>
      </c>
      <c r="E187" s="27" t="str">
        <f t="shared" ca="1" si="5"/>
        <v/>
      </c>
    </row>
    <row r="188" spans="1:5" x14ac:dyDescent="0.2">
      <c r="A188" s="27" t="str">
        <f ca="1">'384 Well qPCR Layout'!V13</f>
        <v/>
      </c>
      <c r="B188" s="61" t="str">
        <f ca="1">IF(A188="", "",'Paste Sample Names Here'!$C$3)</f>
        <v/>
      </c>
      <c r="C188" s="27" t="str">
        <f ca="1">IF(A188="", "", OFFSET('Paste qPCR Data Here'!$F$30, 24*Sheet3!B55, 0))</f>
        <v/>
      </c>
      <c r="D188" s="27" t="str">
        <f t="shared" ca="1" si="4"/>
        <v/>
      </c>
      <c r="E188" s="27" t="str">
        <f t="shared" ca="1" si="5"/>
        <v/>
      </c>
    </row>
    <row r="189" spans="1:5" x14ac:dyDescent="0.2">
      <c r="A189" s="27" t="str">
        <f ca="1">'384 Well qPCR Layout'!V14</f>
        <v/>
      </c>
      <c r="B189" s="62" t="str">
        <f ca="1">IF(A189="", "", 'Paste Sample Names Here'!$G$3)</f>
        <v/>
      </c>
      <c r="C189" s="27" t="str">
        <f ca="1">IF(A189="", "", OFFSET('Paste qPCR Data Here'!$F$30, 24*Sheet3!B56, 0))</f>
        <v/>
      </c>
      <c r="D189" s="27" t="str">
        <f t="shared" ca="1" si="4"/>
        <v/>
      </c>
      <c r="E189" s="27" t="str">
        <f t="shared" ca="1" si="5"/>
        <v/>
      </c>
    </row>
    <row r="190" spans="1:5" x14ac:dyDescent="0.2">
      <c r="A190" s="27" t="str">
        <f ca="1">'384 Well qPCR Layout'!V15</f>
        <v/>
      </c>
      <c r="B190" s="61" t="str">
        <f ca="1">IF(A190="", "",'Paste Sample Names Here'!$C$3)</f>
        <v/>
      </c>
      <c r="C190" s="27" t="str">
        <f ca="1">IF(A190="", "", OFFSET('Paste qPCR Data Here'!$F$30, 24*Sheet3!B57, 0))</f>
        <v/>
      </c>
      <c r="D190" s="27" t="str">
        <f t="shared" ca="1" si="4"/>
        <v/>
      </c>
      <c r="E190" s="27" t="str">
        <f t="shared" ca="1" si="5"/>
        <v/>
      </c>
    </row>
    <row r="191" spans="1:5" x14ac:dyDescent="0.2">
      <c r="A191" s="27" t="str">
        <f ca="1">'384 Well qPCR Layout'!V16</f>
        <v/>
      </c>
      <c r="B191" s="62" t="str">
        <f ca="1">IF(A191="", "", 'Paste Sample Names Here'!$G$3)</f>
        <v/>
      </c>
      <c r="C191" s="27" t="str">
        <f ca="1">IF(A191="", "", OFFSET('Paste qPCR Data Here'!$F$30, 24*Sheet3!B58, 0))</f>
        <v/>
      </c>
      <c r="D191" s="27" t="str">
        <f t="shared" ca="1" si="4"/>
        <v/>
      </c>
      <c r="E191" s="27" t="str">
        <f t="shared" ca="1" si="5"/>
        <v/>
      </c>
    </row>
    <row r="192" spans="1:5" x14ac:dyDescent="0.2">
      <c r="A192" s="27" t="str">
        <f ca="1">'384 Well qPCR Layout'!V17</f>
        <v/>
      </c>
      <c r="B192" s="61" t="str">
        <f ca="1">IF(A192="", "",'Paste Sample Names Here'!$C$3)</f>
        <v/>
      </c>
      <c r="C192" s="27" t="str">
        <f ca="1">IF(A192="", "", OFFSET('Paste qPCR Data Here'!$F$30, 24*Sheet3!B59, 0))</f>
        <v/>
      </c>
      <c r="D192" s="27" t="str">
        <f t="shared" ca="1" si="4"/>
        <v/>
      </c>
      <c r="E192" s="27" t="str">
        <f t="shared" ca="1" si="5"/>
        <v/>
      </c>
    </row>
    <row r="193" spans="1:5" x14ac:dyDescent="0.2">
      <c r="A193" s="27" t="str">
        <f ca="1">'384 Well qPCR Layout'!V18</f>
        <v/>
      </c>
      <c r="B193" s="62" t="str">
        <f ca="1">IF(A193="", "", 'Paste Sample Names Here'!$G$3)</f>
        <v/>
      </c>
      <c r="C193" s="27" t="str">
        <f ca="1">IF(A193="", "", OFFSET('Paste qPCR Data Here'!$F$30, 24*Sheet3!B60, 0))</f>
        <v/>
      </c>
      <c r="D193" s="27" t="str">
        <f t="shared" ca="1" si="4"/>
        <v/>
      </c>
      <c r="E193" s="27" t="str">
        <f t="shared" ca="1" si="5"/>
        <v/>
      </c>
    </row>
    <row r="194" spans="1:5" x14ac:dyDescent="0.2">
      <c r="A194" s="27" t="str">
        <f ca="1">'384 Well qPCR Layout'!X3</f>
        <v>2A (1:1000)</v>
      </c>
      <c r="B194" s="61">
        <f ca="1">IF(A194="", "",'Paste Sample Names Here'!$C$3)</f>
        <v>1000</v>
      </c>
      <c r="C194" s="27">
        <f ca="1">IF(A194="", "", OFFSET('Paste qPCR Data Here'!$F$32, 24*Sheet3!B45, 0))</f>
        <v>7.5380001068115234</v>
      </c>
      <c r="D194" s="27">
        <f t="shared" ca="1" si="4"/>
        <v>47.155223204346932</v>
      </c>
      <c r="E194" s="27">
        <f t="shared" ca="1" si="5"/>
        <v>47155.223204346934</v>
      </c>
    </row>
    <row r="195" spans="1:5" x14ac:dyDescent="0.2">
      <c r="A195" s="27" t="str">
        <f ca="1">'384 Well qPCR Layout'!X4</f>
        <v/>
      </c>
      <c r="B195" s="62" t="str">
        <f ca="1">IF(A195="", "", 'Paste Sample Names Here'!$G$3)</f>
        <v/>
      </c>
      <c r="C195" s="27" t="str">
        <f ca="1">IF(A195="", "", OFFSET('Paste qPCR Data Here'!$F$32, 24*Sheet3!B46, 0))</f>
        <v/>
      </c>
      <c r="D195" s="27" t="str">
        <f t="shared" ca="1" si="4"/>
        <v/>
      </c>
      <c r="E195" s="27" t="str">
        <f t="shared" ca="1" si="5"/>
        <v/>
      </c>
    </row>
    <row r="196" spans="1:5" x14ac:dyDescent="0.2">
      <c r="A196" s="27" t="str">
        <f ca="1">'384 Well qPCR Layout'!X5</f>
        <v>L0 (1:1000)</v>
      </c>
      <c r="B196" s="61">
        <f ca="1">IF(A196="", "",'Paste Sample Names Here'!$C$3)</f>
        <v>1000</v>
      </c>
      <c r="C196" s="27">
        <f ca="1">IF(A196="", "", OFFSET('Paste qPCR Data Here'!$F$32, 24*Sheet3!B47, 0))</f>
        <v>7.125</v>
      </c>
      <c r="D196" s="27">
        <f t="shared" ca="1" si="4"/>
        <v>61.204894342630553</v>
      </c>
      <c r="E196" s="27">
        <f t="shared" ca="1" si="5"/>
        <v>61204.894342630556</v>
      </c>
    </row>
    <row r="197" spans="1:5" x14ac:dyDescent="0.2">
      <c r="A197" s="27" t="str">
        <f ca="1">'384 Well qPCR Layout'!X6</f>
        <v/>
      </c>
      <c r="B197" s="62" t="str">
        <f ca="1">IF(A197="", "", 'Paste Sample Names Here'!$G$3)</f>
        <v/>
      </c>
      <c r="C197" s="27" t="str">
        <f ca="1">IF(A197="", "", OFFSET('Paste qPCR Data Here'!$F$32, 24*Sheet3!B48, 0))</f>
        <v/>
      </c>
      <c r="D197" s="27" t="str">
        <f t="shared" ca="1" si="4"/>
        <v/>
      </c>
      <c r="E197" s="27" t="str">
        <f t="shared" ca="1" si="5"/>
        <v/>
      </c>
    </row>
    <row r="198" spans="1:5" x14ac:dyDescent="0.2">
      <c r="A198" s="27" t="str">
        <f ca="1">'384 Well qPCR Layout'!X7</f>
        <v>BarL (1:1000)</v>
      </c>
      <c r="B198" s="61">
        <f ca="1">IF(A198="", "",'Paste Sample Names Here'!$C$3)</f>
        <v>1000</v>
      </c>
      <c r="C198" s="27">
        <f ca="1">IF(A198="", "", OFFSET('Paste qPCR Data Here'!$F$32, 24*Sheet3!B49, 0))</f>
        <v>7.9130001068115234</v>
      </c>
      <c r="D198" s="27">
        <f t="shared" ca="1" si="4"/>
        <v>37.212955594013685</v>
      </c>
      <c r="E198" s="27">
        <f t="shared" ca="1" si="5"/>
        <v>37212.955594013685</v>
      </c>
    </row>
    <row r="199" spans="1:5" x14ac:dyDescent="0.2">
      <c r="A199" s="27" t="str">
        <f ca="1">'384 Well qPCR Layout'!X8</f>
        <v/>
      </c>
      <c r="B199" s="62" t="str">
        <f ca="1">IF(A199="", "", 'Paste Sample Names Here'!$G$3)</f>
        <v/>
      </c>
      <c r="C199" s="27" t="str">
        <f ca="1">IF(A199="", "", OFFSET('Paste qPCR Data Here'!$F$32, 24*Sheet3!B50, 0))</f>
        <v/>
      </c>
      <c r="D199" s="27" t="str">
        <f t="shared" ca="1" si="4"/>
        <v/>
      </c>
      <c r="E199" s="27" t="str">
        <f t="shared" ca="1" si="5"/>
        <v/>
      </c>
    </row>
    <row r="200" spans="1:5" x14ac:dyDescent="0.2">
      <c r="A200" s="27" t="str">
        <f ca="1">'384 Well qPCR Layout'!X9</f>
        <v/>
      </c>
      <c r="B200" s="61" t="str">
        <f ca="1">IF(A200="", "",'Paste Sample Names Here'!$C$3)</f>
        <v/>
      </c>
      <c r="C200" s="27" t="str">
        <f ca="1">IF(A200="", "", OFFSET('Paste qPCR Data Here'!$F$32, 24*Sheet3!B51, 0))</f>
        <v/>
      </c>
      <c r="D200" s="27" t="str">
        <f t="shared" ca="1" si="4"/>
        <v/>
      </c>
      <c r="E200" s="27" t="str">
        <f t="shared" ca="1" si="5"/>
        <v/>
      </c>
    </row>
    <row r="201" spans="1:5" x14ac:dyDescent="0.2">
      <c r="A201" s="27" t="str">
        <f ca="1">'384 Well qPCR Layout'!X10</f>
        <v/>
      </c>
      <c r="B201" s="62" t="str">
        <f ca="1">IF(A201="", "", 'Paste Sample Names Here'!$G$3)</f>
        <v/>
      </c>
      <c r="C201" s="27" t="str">
        <f ca="1">IF(A201="", "", OFFSET('Paste qPCR Data Here'!$F$32, 24*Sheet3!B52, 0))</f>
        <v/>
      </c>
      <c r="D201" s="27" t="str">
        <f t="shared" ca="1" si="4"/>
        <v/>
      </c>
      <c r="E201" s="27" t="str">
        <f t="shared" ca="1" si="5"/>
        <v/>
      </c>
    </row>
    <row r="202" spans="1:5" x14ac:dyDescent="0.2">
      <c r="A202" s="27" t="str">
        <f ca="1">'384 Well qPCR Layout'!X11</f>
        <v/>
      </c>
      <c r="B202" s="61" t="str">
        <f ca="1">IF(A202="", "",'Paste Sample Names Here'!$C$3)</f>
        <v/>
      </c>
      <c r="C202" s="27" t="str">
        <f ca="1">IF(A202="", "", OFFSET('Paste qPCR Data Here'!$F$32, 24*Sheet3!B53, 0))</f>
        <v/>
      </c>
      <c r="D202" s="27" t="str">
        <f t="shared" ca="1" si="4"/>
        <v/>
      </c>
      <c r="E202" s="27" t="str">
        <f t="shared" ca="1" si="5"/>
        <v/>
      </c>
    </row>
    <row r="203" spans="1:5" x14ac:dyDescent="0.2">
      <c r="A203" s="27" t="str">
        <f ca="1">'384 Well qPCR Layout'!X12</f>
        <v/>
      </c>
      <c r="B203" s="62" t="str">
        <f ca="1">IF(A203="", "", 'Paste Sample Names Here'!$G$3)</f>
        <v/>
      </c>
      <c r="C203" s="27" t="str">
        <f ca="1">IF(A203="", "", OFFSET('Paste qPCR Data Here'!$F$32, 24*Sheet3!B54, 0))</f>
        <v/>
      </c>
      <c r="D203" s="27" t="str">
        <f t="shared" ca="1" si="4"/>
        <v/>
      </c>
      <c r="E203" s="27" t="str">
        <f t="shared" ca="1" si="5"/>
        <v/>
      </c>
    </row>
    <row r="204" spans="1:5" x14ac:dyDescent="0.2">
      <c r="A204" s="27" t="str">
        <f ca="1">'384 Well qPCR Layout'!X13</f>
        <v/>
      </c>
      <c r="B204" s="61" t="str">
        <f ca="1">IF(A204="", "",'Paste Sample Names Here'!$C$3)</f>
        <v/>
      </c>
      <c r="C204" s="27" t="str">
        <f ca="1">IF(A204="", "", OFFSET('Paste qPCR Data Here'!$F$32, 24*Sheet3!B55, 0))</f>
        <v/>
      </c>
      <c r="D204" s="27" t="str">
        <f t="shared" ca="1" si="4"/>
        <v/>
      </c>
      <c r="E204" s="27" t="str">
        <f t="shared" ca="1" si="5"/>
        <v/>
      </c>
    </row>
    <row r="205" spans="1:5" x14ac:dyDescent="0.2">
      <c r="A205" s="27" t="str">
        <f ca="1">'384 Well qPCR Layout'!X14</f>
        <v/>
      </c>
      <c r="B205" s="62" t="str">
        <f ca="1">IF(A205="", "", 'Paste Sample Names Here'!$G$3)</f>
        <v/>
      </c>
      <c r="C205" s="27" t="str">
        <f ca="1">IF(A205="", "", OFFSET('Paste qPCR Data Here'!$F$32, 24*Sheet3!B56, 0))</f>
        <v/>
      </c>
      <c r="D205" s="27" t="str">
        <f t="shared" ca="1" si="4"/>
        <v/>
      </c>
      <c r="E205" s="27" t="str">
        <f t="shared" ca="1" si="5"/>
        <v/>
      </c>
    </row>
    <row r="206" spans="1:5" x14ac:dyDescent="0.2">
      <c r="A206" s="27" t="str">
        <f ca="1">'384 Well qPCR Layout'!X15</f>
        <v/>
      </c>
      <c r="B206" s="61" t="str">
        <f ca="1">IF(A206="", "",'Paste Sample Names Here'!$C$3)</f>
        <v/>
      </c>
      <c r="C206" s="27" t="str">
        <f ca="1">IF(A206="", "", OFFSET('Paste qPCR Data Here'!$F$32, 24*Sheet3!B57, 0))</f>
        <v/>
      </c>
      <c r="D206" s="27" t="str">
        <f t="shared" ca="1" si="4"/>
        <v/>
      </c>
      <c r="E206" s="27" t="str">
        <f t="shared" ca="1" si="5"/>
        <v/>
      </c>
    </row>
    <row r="207" spans="1:5" x14ac:dyDescent="0.2">
      <c r="A207" s="27" t="str">
        <f ca="1">'384 Well qPCR Layout'!X16</f>
        <v/>
      </c>
      <c r="B207" s="62" t="str">
        <f ca="1">IF(A207="", "", 'Paste Sample Names Here'!$G$3)</f>
        <v/>
      </c>
      <c r="C207" s="27" t="str">
        <f ca="1">IF(A207="", "", OFFSET('Paste qPCR Data Here'!$F$32, 24*Sheet3!B58, 0))</f>
        <v/>
      </c>
      <c r="D207" s="27" t="str">
        <f t="shared" ca="1" si="4"/>
        <v/>
      </c>
      <c r="E207" s="27" t="str">
        <f t="shared" ca="1" si="5"/>
        <v/>
      </c>
    </row>
    <row r="208" spans="1:5" x14ac:dyDescent="0.2">
      <c r="A208" s="27" t="str">
        <f ca="1">'384 Well qPCR Layout'!X17</f>
        <v/>
      </c>
      <c r="B208" s="61" t="str">
        <f ca="1">IF(A208="", "",'Paste Sample Names Here'!$C$3)</f>
        <v/>
      </c>
      <c r="C208" s="27" t="str">
        <f ca="1">IF(A208="", "", OFFSET('Paste qPCR Data Here'!$F$32, 24*Sheet3!B59, 0))</f>
        <v/>
      </c>
      <c r="D208" s="27" t="str">
        <f t="shared" ca="1" si="4"/>
        <v/>
      </c>
      <c r="E208" s="27" t="str">
        <f t="shared" ca="1" si="5"/>
        <v/>
      </c>
    </row>
    <row r="209" spans="1:5" x14ac:dyDescent="0.2">
      <c r="A209" s="27" t="str">
        <f ca="1">'384 Well qPCR Layout'!X18</f>
        <v/>
      </c>
      <c r="B209" s="62" t="str">
        <f ca="1">IF(A209="", "", 'Paste Sample Names Here'!$G$3)</f>
        <v/>
      </c>
      <c r="C209" s="27" t="str">
        <f ca="1">IF(A209="", "", OFFSET('Paste qPCR Data Here'!$F$32, 24*Sheet3!B60, 0))</f>
        <v/>
      </c>
      <c r="D209" s="27" t="str">
        <f t="shared" ca="1" si="4"/>
        <v/>
      </c>
      <c r="E209" s="27" t="str">
        <f t="shared" ca="1" si="5"/>
        <v/>
      </c>
    </row>
    <row r="210" spans="1:5" x14ac:dyDescent="0.2">
      <c r="A210" s="27" t="str">
        <f ca="1">'384 Well qPCR Layout'!C3</f>
        <v/>
      </c>
      <c r="B210" s="61" t="str">
        <f ca="1">IF(A210="", "",'Paste Sample Names Here'!$K$3)</f>
        <v/>
      </c>
      <c r="C210" s="27" t="str">
        <f ca="1">IF(A210="", "", OFFSET('Paste qPCR Data Here'!$F$11, 24*Sheet3!B45, 0))</f>
        <v/>
      </c>
      <c r="D210" s="27" t="str">
        <f t="shared" ca="1" si="4"/>
        <v/>
      </c>
      <c r="E210" s="27" t="str">
        <f t="shared" ca="1" si="5"/>
        <v/>
      </c>
    </row>
    <row r="211" spans="1:5" x14ac:dyDescent="0.2">
      <c r="A211" s="27" t="str">
        <f ca="1">'384 Well qPCR Layout'!C4</f>
        <v/>
      </c>
      <c r="B211" s="62" t="str">
        <f ca="1">IF(A211="", "", 'Paste Sample Names Here'!$O$3)</f>
        <v/>
      </c>
      <c r="C211" s="27" t="str">
        <f ca="1">IF(A211="", "", OFFSET('Paste qPCR Data Here'!$F$11, 24*Sheet3!B46, 0))</f>
        <v/>
      </c>
      <c r="D211" s="27" t="str">
        <f t="shared" ref="D211:D274" ca="1" si="6">IF(C211="", "", 2^(SLOPE(LOG($B$4:$B$7,2),$C$4:$C$7)*C211+INTERCEPT(LOG($B$4:$B$7,2),$C$4:$C$7)))</f>
        <v/>
      </c>
      <c r="E211" s="27" t="str">
        <f t="shared" ref="E211:E274" ca="1" si="7">IF(C211="", "", D211*B211)</f>
        <v/>
      </c>
    </row>
    <row r="212" spans="1:5" x14ac:dyDescent="0.2">
      <c r="A212" s="27" t="str">
        <f ca="1">'384 Well qPCR Layout'!C5</f>
        <v/>
      </c>
      <c r="B212" s="61" t="str">
        <f ca="1">IF(A212="", "",'Paste Sample Names Here'!$K$3)</f>
        <v/>
      </c>
      <c r="C212" s="27" t="str">
        <f ca="1">IF(A212="", "", OFFSET('Paste qPCR Data Here'!$F$11, 24*Sheet3!B47, 0))</f>
        <v/>
      </c>
      <c r="D212" s="27" t="str">
        <f t="shared" ca="1" si="6"/>
        <v/>
      </c>
      <c r="E212" s="27" t="str">
        <f t="shared" ca="1" si="7"/>
        <v/>
      </c>
    </row>
    <row r="213" spans="1:5" x14ac:dyDescent="0.2">
      <c r="A213" s="27" t="str">
        <f ca="1">'384 Well qPCR Layout'!C6</f>
        <v/>
      </c>
      <c r="B213" s="62" t="str">
        <f ca="1">IF(A213="", "", 'Paste Sample Names Here'!$O$3)</f>
        <v/>
      </c>
      <c r="C213" s="27" t="str">
        <f ca="1">IF(A213="", "", OFFSET('Paste qPCR Data Here'!$F$11, 24*Sheet3!B48, 0))</f>
        <v/>
      </c>
      <c r="D213" s="27" t="str">
        <f t="shared" ca="1" si="6"/>
        <v/>
      </c>
      <c r="E213" s="27" t="str">
        <f t="shared" ca="1" si="7"/>
        <v/>
      </c>
    </row>
    <row r="214" spans="1:5" x14ac:dyDescent="0.2">
      <c r="A214" s="27" t="str">
        <f ca="1">'384 Well qPCR Layout'!C7</f>
        <v/>
      </c>
      <c r="B214" s="61" t="str">
        <f ca="1">IF(A214="", "",'Paste Sample Names Here'!$K$3)</f>
        <v/>
      </c>
      <c r="C214" s="27" t="str">
        <f ca="1">IF(A214="", "", OFFSET('Paste qPCR Data Here'!$F$11, 24*Sheet3!B49, 0))</f>
        <v/>
      </c>
      <c r="D214" s="27" t="str">
        <f t="shared" ca="1" si="6"/>
        <v/>
      </c>
      <c r="E214" s="27" t="str">
        <f t="shared" ca="1" si="7"/>
        <v/>
      </c>
    </row>
    <row r="215" spans="1:5" x14ac:dyDescent="0.2">
      <c r="A215" s="27" t="str">
        <f ca="1">'384 Well qPCR Layout'!C8</f>
        <v/>
      </c>
      <c r="B215" s="62" t="str">
        <f ca="1">IF(A215="", "", 'Paste Sample Names Here'!$O$3)</f>
        <v/>
      </c>
      <c r="C215" s="27" t="str">
        <f ca="1">IF(A215="", "", OFFSET('Paste qPCR Data Here'!$F$11, 24*Sheet3!B50, 0))</f>
        <v/>
      </c>
      <c r="D215" s="27" t="str">
        <f t="shared" ca="1" si="6"/>
        <v/>
      </c>
      <c r="E215" s="27" t="str">
        <f t="shared" ca="1" si="7"/>
        <v/>
      </c>
    </row>
    <row r="216" spans="1:5" x14ac:dyDescent="0.2">
      <c r="A216" s="27" t="str">
        <f ca="1">'384 Well qPCR Layout'!C9</f>
        <v/>
      </c>
      <c r="B216" s="61" t="str">
        <f ca="1">IF(A216="", "",'Paste Sample Names Here'!$K$3)</f>
        <v/>
      </c>
      <c r="C216" s="27" t="str">
        <f ca="1">IF(A216="", "", OFFSET('Paste qPCR Data Here'!$F$11, 24*Sheet3!B51, 0))</f>
        <v/>
      </c>
      <c r="D216" s="27" t="str">
        <f t="shared" ca="1" si="6"/>
        <v/>
      </c>
      <c r="E216" s="27" t="str">
        <f t="shared" ca="1" si="7"/>
        <v/>
      </c>
    </row>
    <row r="217" spans="1:5" x14ac:dyDescent="0.2">
      <c r="A217" s="27" t="str">
        <f ca="1">'384 Well qPCR Layout'!C10</f>
        <v/>
      </c>
      <c r="B217" s="62" t="str">
        <f ca="1">IF(A217="", "", 'Paste Sample Names Here'!$O$3)</f>
        <v/>
      </c>
      <c r="C217" s="27" t="str">
        <f ca="1">IF(A217="", "", OFFSET('Paste qPCR Data Here'!$F$11, 24*Sheet3!B52, 0))</f>
        <v/>
      </c>
      <c r="D217" s="27" t="str">
        <f t="shared" ca="1" si="6"/>
        <v/>
      </c>
      <c r="E217" s="27" t="str">
        <f t="shared" ca="1" si="7"/>
        <v/>
      </c>
    </row>
    <row r="218" spans="1:5" x14ac:dyDescent="0.2">
      <c r="A218" s="27" t="str">
        <f ca="1">'384 Well qPCR Layout'!C11</f>
        <v/>
      </c>
      <c r="B218" s="61" t="str">
        <f ca="1">IF(A218="", "",'Paste Sample Names Here'!$K$3)</f>
        <v/>
      </c>
      <c r="C218" s="27" t="str">
        <f ca="1">IF(A218="", "", OFFSET('Paste qPCR Data Here'!$F$11, 24*Sheet3!B53, 0))</f>
        <v/>
      </c>
      <c r="D218" s="27" t="str">
        <f t="shared" ca="1" si="6"/>
        <v/>
      </c>
      <c r="E218" s="27" t="str">
        <f t="shared" ca="1" si="7"/>
        <v/>
      </c>
    </row>
    <row r="219" spans="1:5" x14ac:dyDescent="0.2">
      <c r="A219" s="27" t="str">
        <f ca="1">'384 Well qPCR Layout'!C12</f>
        <v/>
      </c>
      <c r="B219" s="62" t="str">
        <f ca="1">IF(A219="", "", 'Paste Sample Names Here'!$O$3)</f>
        <v/>
      </c>
      <c r="C219" s="27" t="str">
        <f ca="1">IF(A219="", "", OFFSET('Paste qPCR Data Here'!$F$11, 24*Sheet3!B54, 0))</f>
        <v/>
      </c>
      <c r="D219" s="27" t="str">
        <f t="shared" ca="1" si="6"/>
        <v/>
      </c>
      <c r="E219" s="27" t="str">
        <f t="shared" ca="1" si="7"/>
        <v/>
      </c>
    </row>
    <row r="220" spans="1:5" x14ac:dyDescent="0.2">
      <c r="A220" s="27" t="str">
        <f ca="1">'384 Well qPCR Layout'!C13</f>
        <v/>
      </c>
      <c r="B220" s="61" t="str">
        <f ca="1">IF(A220="", "",'Paste Sample Names Here'!$K$3)</f>
        <v/>
      </c>
      <c r="C220" s="27" t="str">
        <f ca="1">IF(A220="", "", OFFSET('Paste qPCR Data Here'!$F$11, 24*Sheet3!B55, 0))</f>
        <v/>
      </c>
      <c r="D220" s="27" t="str">
        <f t="shared" ca="1" si="6"/>
        <v/>
      </c>
      <c r="E220" s="27" t="str">
        <f t="shared" ca="1" si="7"/>
        <v/>
      </c>
    </row>
    <row r="221" spans="1:5" x14ac:dyDescent="0.2">
      <c r="A221" s="27" t="str">
        <f ca="1">'384 Well qPCR Layout'!C14</f>
        <v/>
      </c>
      <c r="B221" s="62" t="str">
        <f ca="1">IF(A221="", "", 'Paste Sample Names Here'!$O$3)</f>
        <v/>
      </c>
      <c r="C221" s="27" t="str">
        <f ca="1">IF(A221="", "", OFFSET('Paste qPCR Data Here'!$F$11, 24*Sheet3!B56, 0))</f>
        <v/>
      </c>
      <c r="D221" s="27" t="str">
        <f t="shared" ca="1" si="6"/>
        <v/>
      </c>
      <c r="E221" s="27" t="str">
        <f t="shared" ca="1" si="7"/>
        <v/>
      </c>
    </row>
    <row r="222" spans="1:5" x14ac:dyDescent="0.2">
      <c r="A222" s="27" t="str">
        <f ca="1">'384 Well qPCR Layout'!C15</f>
        <v/>
      </c>
      <c r="B222" s="61" t="str">
        <f ca="1">IF(A222="", "",'Paste Sample Names Here'!$K$3)</f>
        <v/>
      </c>
      <c r="C222" s="27" t="str">
        <f ca="1">IF(A222="", "", OFFSET('Paste qPCR Data Here'!$F$11, 24*Sheet3!B57, 0))</f>
        <v/>
      </c>
      <c r="D222" s="27" t="str">
        <f t="shared" ca="1" si="6"/>
        <v/>
      </c>
      <c r="E222" s="27" t="str">
        <f t="shared" ca="1" si="7"/>
        <v/>
      </c>
    </row>
    <row r="223" spans="1:5" x14ac:dyDescent="0.2">
      <c r="A223" s="27" t="str">
        <f ca="1">'384 Well qPCR Layout'!C16</f>
        <v/>
      </c>
      <c r="B223" s="62" t="str">
        <f ca="1">IF(A223="", "", 'Paste Sample Names Here'!$O$3)</f>
        <v/>
      </c>
      <c r="C223" s="27" t="str">
        <f ca="1">IF(A223="", "", OFFSET('Paste qPCR Data Here'!$F$11, 24*Sheet3!B58, 0))</f>
        <v/>
      </c>
      <c r="D223" s="27" t="str">
        <f t="shared" ca="1" si="6"/>
        <v/>
      </c>
      <c r="E223" s="27" t="str">
        <f t="shared" ca="1" si="7"/>
        <v/>
      </c>
    </row>
    <row r="224" spans="1:5" x14ac:dyDescent="0.2">
      <c r="A224" s="27" t="str">
        <f ca="1">'384 Well qPCR Layout'!C17</f>
        <v/>
      </c>
      <c r="B224" s="61" t="str">
        <f ca="1">IF(A224="", "",'Paste Sample Names Here'!$K$3)</f>
        <v/>
      </c>
      <c r="C224" s="27" t="str">
        <f ca="1">IF(A224="", "", OFFSET('Paste qPCR Data Here'!$F$11, 24*Sheet3!B59, 0))</f>
        <v/>
      </c>
      <c r="D224" s="27" t="str">
        <f t="shared" ca="1" si="6"/>
        <v/>
      </c>
      <c r="E224" s="27" t="str">
        <f t="shared" ca="1" si="7"/>
        <v/>
      </c>
    </row>
    <row r="225" spans="1:5" x14ac:dyDescent="0.2">
      <c r="A225" s="27" t="str">
        <f ca="1">'384 Well qPCR Layout'!C18</f>
        <v/>
      </c>
      <c r="B225" s="62" t="str">
        <f ca="1">IF(A225="", "", 'Paste Sample Names Here'!$O$3)</f>
        <v/>
      </c>
      <c r="C225" s="27" t="str">
        <f ca="1">IF(A225="", "", OFFSET('Paste qPCR Data Here'!$F$11, 24*Sheet3!B60, 0))</f>
        <v/>
      </c>
      <c r="D225" s="27" t="str">
        <f t="shared" ca="1" si="6"/>
        <v/>
      </c>
      <c r="E225" s="27" t="str">
        <f t="shared" ca="1" si="7"/>
        <v/>
      </c>
    </row>
    <row r="226" spans="1:5" x14ac:dyDescent="0.2">
      <c r="A226" s="27" t="str">
        <f ca="1">'384 Well qPCR Layout'!E3</f>
        <v/>
      </c>
      <c r="B226" s="61" t="str">
        <f ca="1">IF(A226="", "",'Paste Sample Names Here'!$K$3)</f>
        <v/>
      </c>
      <c r="C226" s="27" t="str">
        <f ca="1">IF(A226="", "", OFFSET('Paste qPCR Data Here'!$F$13, 24*Sheet3!B45, 0))</f>
        <v/>
      </c>
      <c r="D226" s="27" t="str">
        <f t="shared" ca="1" si="6"/>
        <v/>
      </c>
      <c r="E226" s="27" t="str">
        <f t="shared" ca="1" si="7"/>
        <v/>
      </c>
    </row>
    <row r="227" spans="1:5" x14ac:dyDescent="0.2">
      <c r="A227" s="27" t="str">
        <f ca="1">'384 Well qPCR Layout'!E4</f>
        <v/>
      </c>
      <c r="B227" s="62" t="str">
        <f ca="1">IF(A227="", "", 'Paste Sample Names Here'!$O$3)</f>
        <v/>
      </c>
      <c r="C227" s="27" t="str">
        <f ca="1">IF(A227="", "", OFFSET('Paste qPCR Data Here'!$F$13, 24*Sheet3!B46, 0))</f>
        <v/>
      </c>
      <c r="D227" s="27" t="str">
        <f t="shared" ca="1" si="6"/>
        <v/>
      </c>
      <c r="E227" s="27" t="str">
        <f t="shared" ca="1" si="7"/>
        <v/>
      </c>
    </row>
    <row r="228" spans="1:5" x14ac:dyDescent="0.2">
      <c r="A228" s="27" t="str">
        <f ca="1">'384 Well qPCR Layout'!E5</f>
        <v/>
      </c>
      <c r="B228" s="61" t="str">
        <f ca="1">IF(A228="", "",'Paste Sample Names Here'!$K$3)</f>
        <v/>
      </c>
      <c r="C228" s="27" t="str">
        <f ca="1">IF(A228="", "", OFFSET('Paste qPCR Data Here'!$F$13, 24*Sheet3!B47, 0))</f>
        <v/>
      </c>
      <c r="D228" s="27" t="str">
        <f t="shared" ca="1" si="6"/>
        <v/>
      </c>
      <c r="E228" s="27" t="str">
        <f t="shared" ca="1" si="7"/>
        <v/>
      </c>
    </row>
    <row r="229" spans="1:5" x14ac:dyDescent="0.2">
      <c r="A229" s="27" t="str">
        <f ca="1">'384 Well qPCR Layout'!E6</f>
        <v/>
      </c>
      <c r="B229" s="62" t="str">
        <f ca="1">IF(A229="", "", 'Paste Sample Names Here'!$O$3)</f>
        <v/>
      </c>
      <c r="C229" s="27" t="str">
        <f ca="1">IF(A229="", "", OFFSET('Paste qPCR Data Here'!$F$13, 24*Sheet3!B48, 0))</f>
        <v/>
      </c>
      <c r="D229" s="27" t="str">
        <f t="shared" ca="1" si="6"/>
        <v/>
      </c>
      <c r="E229" s="27" t="str">
        <f t="shared" ca="1" si="7"/>
        <v/>
      </c>
    </row>
    <row r="230" spans="1:5" x14ac:dyDescent="0.2">
      <c r="A230" s="27" t="str">
        <f ca="1">'384 Well qPCR Layout'!E7</f>
        <v/>
      </c>
      <c r="B230" s="61" t="str">
        <f ca="1">IF(A230="", "",'Paste Sample Names Here'!$K$3)</f>
        <v/>
      </c>
      <c r="C230" s="27" t="str">
        <f ca="1">IF(A230="", "", OFFSET('Paste qPCR Data Here'!$F$13, 24*Sheet3!B49, 0))</f>
        <v/>
      </c>
      <c r="D230" s="27" t="str">
        <f t="shared" ca="1" si="6"/>
        <v/>
      </c>
      <c r="E230" s="27" t="str">
        <f t="shared" ca="1" si="7"/>
        <v/>
      </c>
    </row>
    <row r="231" spans="1:5" x14ac:dyDescent="0.2">
      <c r="A231" s="27" t="str">
        <f ca="1">'384 Well qPCR Layout'!E8</f>
        <v/>
      </c>
      <c r="B231" s="62" t="str">
        <f ca="1">IF(A231="", "", 'Paste Sample Names Here'!$O$3)</f>
        <v/>
      </c>
      <c r="C231" s="27" t="str">
        <f ca="1">IF(A231="", "", OFFSET('Paste qPCR Data Here'!$F$13, 24*Sheet3!B50, 0))</f>
        <v/>
      </c>
      <c r="D231" s="27" t="str">
        <f t="shared" ca="1" si="6"/>
        <v/>
      </c>
      <c r="E231" s="27" t="str">
        <f t="shared" ca="1" si="7"/>
        <v/>
      </c>
    </row>
    <row r="232" spans="1:5" x14ac:dyDescent="0.2">
      <c r="A232" s="27" t="str">
        <f ca="1">'384 Well qPCR Layout'!E9</f>
        <v/>
      </c>
      <c r="B232" s="61" t="str">
        <f ca="1">IF(A232="", "",'Paste Sample Names Here'!$K$3)</f>
        <v/>
      </c>
      <c r="C232" s="27" t="str">
        <f ca="1">IF(A232="", "", OFFSET('Paste qPCR Data Here'!$F$13, 24*Sheet3!B51, 0))</f>
        <v/>
      </c>
      <c r="D232" s="27" t="str">
        <f t="shared" ca="1" si="6"/>
        <v/>
      </c>
      <c r="E232" s="27" t="str">
        <f t="shared" ca="1" si="7"/>
        <v/>
      </c>
    </row>
    <row r="233" spans="1:5" x14ac:dyDescent="0.2">
      <c r="A233" s="27" t="str">
        <f ca="1">'384 Well qPCR Layout'!E10</f>
        <v/>
      </c>
      <c r="B233" s="62" t="str">
        <f ca="1">IF(A233="", "", 'Paste Sample Names Here'!$O$3)</f>
        <v/>
      </c>
      <c r="C233" s="27" t="str">
        <f ca="1">IF(A233="", "", OFFSET('Paste qPCR Data Here'!$F$13, 24*Sheet3!B52, 0))</f>
        <v/>
      </c>
      <c r="D233" s="27" t="str">
        <f t="shared" ca="1" si="6"/>
        <v/>
      </c>
      <c r="E233" s="27" t="str">
        <f t="shared" ca="1" si="7"/>
        <v/>
      </c>
    </row>
    <row r="234" spans="1:5" x14ac:dyDescent="0.2">
      <c r="A234" s="27" t="str">
        <f ca="1">'384 Well qPCR Layout'!E11</f>
        <v/>
      </c>
      <c r="B234" s="61" t="str">
        <f ca="1">IF(A234="", "",'Paste Sample Names Here'!$K$3)</f>
        <v/>
      </c>
      <c r="C234" s="27" t="str">
        <f ca="1">IF(A234="", "", OFFSET('Paste qPCR Data Here'!$F$13, 24*Sheet3!B53, 0))</f>
        <v/>
      </c>
      <c r="D234" s="27" t="str">
        <f t="shared" ca="1" si="6"/>
        <v/>
      </c>
      <c r="E234" s="27" t="str">
        <f t="shared" ca="1" si="7"/>
        <v/>
      </c>
    </row>
    <row r="235" spans="1:5" x14ac:dyDescent="0.2">
      <c r="A235" s="27" t="str">
        <f ca="1">'384 Well qPCR Layout'!E12</f>
        <v/>
      </c>
      <c r="B235" s="62" t="str">
        <f ca="1">IF(A235="", "", 'Paste Sample Names Here'!$O$3)</f>
        <v/>
      </c>
      <c r="C235" s="27" t="str">
        <f ca="1">IF(A235="", "", OFFSET('Paste qPCR Data Here'!$F$13, 24*Sheet3!B54, 0))</f>
        <v/>
      </c>
      <c r="D235" s="27" t="str">
        <f t="shared" ca="1" si="6"/>
        <v/>
      </c>
      <c r="E235" s="27" t="str">
        <f t="shared" ca="1" si="7"/>
        <v/>
      </c>
    </row>
    <row r="236" spans="1:5" x14ac:dyDescent="0.2">
      <c r="A236" s="27" t="str">
        <f ca="1">'384 Well qPCR Layout'!E13</f>
        <v/>
      </c>
      <c r="B236" s="61" t="str">
        <f ca="1">IF(A236="", "",'Paste Sample Names Here'!$K$3)</f>
        <v/>
      </c>
      <c r="C236" s="27" t="str">
        <f ca="1">IF(A236="", "", OFFSET('Paste qPCR Data Here'!$F$13, 24*Sheet3!B55, 0))</f>
        <v/>
      </c>
      <c r="D236" s="27" t="str">
        <f t="shared" ca="1" si="6"/>
        <v/>
      </c>
      <c r="E236" s="27" t="str">
        <f t="shared" ca="1" si="7"/>
        <v/>
      </c>
    </row>
    <row r="237" spans="1:5" x14ac:dyDescent="0.2">
      <c r="A237" s="27" t="str">
        <f ca="1">'384 Well qPCR Layout'!E14</f>
        <v/>
      </c>
      <c r="B237" s="62" t="str">
        <f ca="1">IF(A237="", "", 'Paste Sample Names Here'!$O$3)</f>
        <v/>
      </c>
      <c r="C237" s="27" t="str">
        <f ca="1">IF(A237="", "", OFFSET('Paste qPCR Data Here'!$F$13, 24*Sheet3!B56, 0))</f>
        <v/>
      </c>
      <c r="D237" s="27" t="str">
        <f t="shared" ca="1" si="6"/>
        <v/>
      </c>
      <c r="E237" s="27" t="str">
        <f t="shared" ca="1" si="7"/>
        <v/>
      </c>
    </row>
    <row r="238" spans="1:5" x14ac:dyDescent="0.2">
      <c r="A238" s="27" t="str">
        <f ca="1">'384 Well qPCR Layout'!E15</f>
        <v/>
      </c>
      <c r="B238" s="61" t="str">
        <f ca="1">IF(A238="", "",'Paste Sample Names Here'!$K$3)</f>
        <v/>
      </c>
      <c r="C238" s="27" t="str">
        <f ca="1">IF(A238="", "", OFFSET('Paste qPCR Data Here'!$F$13, 24*Sheet3!B57, 0))</f>
        <v/>
      </c>
      <c r="D238" s="27" t="str">
        <f t="shared" ca="1" si="6"/>
        <v/>
      </c>
      <c r="E238" s="27" t="str">
        <f t="shared" ca="1" si="7"/>
        <v/>
      </c>
    </row>
    <row r="239" spans="1:5" x14ac:dyDescent="0.2">
      <c r="A239" s="27" t="str">
        <f ca="1">'384 Well qPCR Layout'!E16</f>
        <v/>
      </c>
      <c r="B239" s="62" t="str">
        <f ca="1">IF(A239="", "", 'Paste Sample Names Here'!$O$3)</f>
        <v/>
      </c>
      <c r="C239" s="27" t="str">
        <f ca="1">IF(A239="", "", OFFSET('Paste qPCR Data Here'!$F$13, 24*Sheet3!B58, 0))</f>
        <v/>
      </c>
      <c r="D239" s="27" t="str">
        <f t="shared" ca="1" si="6"/>
        <v/>
      </c>
      <c r="E239" s="27" t="str">
        <f t="shared" ca="1" si="7"/>
        <v/>
      </c>
    </row>
    <row r="240" spans="1:5" x14ac:dyDescent="0.2">
      <c r="A240" s="27" t="str">
        <f ca="1">'384 Well qPCR Layout'!E17</f>
        <v/>
      </c>
      <c r="B240" s="61" t="str">
        <f ca="1">IF(A240="", "",'Paste Sample Names Here'!$K$3)</f>
        <v/>
      </c>
      <c r="C240" s="27" t="str">
        <f ca="1">IF(A240="", "", OFFSET('Paste qPCR Data Here'!$F$13, 24*Sheet3!B59, 0))</f>
        <v/>
      </c>
      <c r="D240" s="27" t="str">
        <f t="shared" ca="1" si="6"/>
        <v/>
      </c>
      <c r="E240" s="27" t="str">
        <f t="shared" ca="1" si="7"/>
        <v/>
      </c>
    </row>
    <row r="241" spans="1:5" x14ac:dyDescent="0.2">
      <c r="A241" s="27" t="str">
        <f ca="1">'384 Well qPCR Layout'!E18</f>
        <v/>
      </c>
      <c r="B241" s="62" t="str">
        <f ca="1">IF(A241="", "", 'Paste Sample Names Here'!$O$3)</f>
        <v/>
      </c>
      <c r="C241" s="27" t="str">
        <f ca="1">IF(A241="", "", OFFSET('Paste qPCR Data Here'!$F$13, 24*Sheet3!B60, 0))</f>
        <v/>
      </c>
      <c r="D241" s="27" t="str">
        <f t="shared" ca="1" si="6"/>
        <v/>
      </c>
      <c r="E241" s="27" t="str">
        <f t="shared" ca="1" si="7"/>
        <v/>
      </c>
    </row>
    <row r="242" spans="1:5" x14ac:dyDescent="0.2">
      <c r="A242" s="27" t="str">
        <f ca="1">'384 Well qPCR Layout'!G3</f>
        <v/>
      </c>
      <c r="B242" s="61" t="str">
        <f ca="1">IF(A242="", "",'Paste Sample Names Here'!$K$3)</f>
        <v/>
      </c>
      <c r="C242" s="27" t="str">
        <f ca="1">IF(A242="", "", OFFSET('Paste qPCR Data Here'!$F$15, 24*Sheet3!B45, 0))</f>
        <v/>
      </c>
      <c r="D242" s="27" t="str">
        <f t="shared" ca="1" si="6"/>
        <v/>
      </c>
      <c r="E242" s="27" t="str">
        <f t="shared" ca="1" si="7"/>
        <v/>
      </c>
    </row>
    <row r="243" spans="1:5" x14ac:dyDescent="0.2">
      <c r="A243" s="27" t="str">
        <f ca="1">'384 Well qPCR Layout'!G4</f>
        <v/>
      </c>
      <c r="B243" s="62" t="str">
        <f ca="1">IF(A243="", "", 'Paste Sample Names Here'!$O$3)</f>
        <v/>
      </c>
      <c r="C243" s="27" t="str">
        <f ca="1">IF(A243="", "", OFFSET('Paste qPCR Data Here'!$F$15, 24*Sheet3!B46, 0))</f>
        <v/>
      </c>
      <c r="D243" s="27" t="str">
        <f t="shared" ca="1" si="6"/>
        <v/>
      </c>
      <c r="E243" s="27" t="str">
        <f t="shared" ca="1" si="7"/>
        <v/>
      </c>
    </row>
    <row r="244" spans="1:5" x14ac:dyDescent="0.2">
      <c r="A244" s="27" t="str">
        <f ca="1">'384 Well qPCR Layout'!G5</f>
        <v/>
      </c>
      <c r="B244" s="61" t="str">
        <f ca="1">IF(A244="", "",'Paste Sample Names Here'!$K$3)</f>
        <v/>
      </c>
      <c r="C244" s="27" t="str">
        <f ca="1">IF(A244="", "", OFFSET('Paste qPCR Data Here'!$F$15, 24*Sheet3!B47, 0))</f>
        <v/>
      </c>
      <c r="D244" s="27" t="str">
        <f t="shared" ca="1" si="6"/>
        <v/>
      </c>
      <c r="E244" s="27" t="str">
        <f t="shared" ca="1" si="7"/>
        <v/>
      </c>
    </row>
    <row r="245" spans="1:5" x14ac:dyDescent="0.2">
      <c r="A245" s="27" t="str">
        <f ca="1">'384 Well qPCR Layout'!G6</f>
        <v/>
      </c>
      <c r="B245" s="62" t="str">
        <f ca="1">IF(A245="", "", 'Paste Sample Names Here'!$O$3)</f>
        <v/>
      </c>
      <c r="C245" s="27" t="str">
        <f ca="1">IF(A245="", "", OFFSET('Paste qPCR Data Here'!$F$15, 24*Sheet3!B48, 0))</f>
        <v/>
      </c>
      <c r="D245" s="27" t="str">
        <f t="shared" ca="1" si="6"/>
        <v/>
      </c>
      <c r="E245" s="27" t="str">
        <f t="shared" ca="1" si="7"/>
        <v/>
      </c>
    </row>
    <row r="246" spans="1:5" x14ac:dyDescent="0.2">
      <c r="A246" s="27" t="str">
        <f ca="1">'384 Well qPCR Layout'!G7</f>
        <v/>
      </c>
      <c r="B246" s="61" t="str">
        <f ca="1">IF(A246="", "",'Paste Sample Names Here'!$K$3)</f>
        <v/>
      </c>
      <c r="C246" s="27" t="str">
        <f ca="1">IF(A246="", "", OFFSET('Paste qPCR Data Here'!$F$15, 24*Sheet3!B49, 0))</f>
        <v/>
      </c>
      <c r="D246" s="27" t="str">
        <f t="shared" ca="1" si="6"/>
        <v/>
      </c>
      <c r="E246" s="27" t="str">
        <f t="shared" ca="1" si="7"/>
        <v/>
      </c>
    </row>
    <row r="247" spans="1:5" x14ac:dyDescent="0.2">
      <c r="A247" s="27" t="str">
        <f ca="1">'384 Well qPCR Layout'!G8</f>
        <v/>
      </c>
      <c r="B247" s="62" t="str">
        <f ca="1">IF(A247="", "", 'Paste Sample Names Here'!$O$3)</f>
        <v/>
      </c>
      <c r="C247" s="27" t="str">
        <f ca="1">IF(A247="", "", OFFSET('Paste qPCR Data Here'!$F$15, 24*Sheet3!B50, 0))</f>
        <v/>
      </c>
      <c r="D247" s="27" t="str">
        <f t="shared" ca="1" si="6"/>
        <v/>
      </c>
      <c r="E247" s="27" t="str">
        <f t="shared" ca="1" si="7"/>
        <v/>
      </c>
    </row>
    <row r="248" spans="1:5" x14ac:dyDescent="0.2">
      <c r="A248" s="27" t="str">
        <f ca="1">'384 Well qPCR Layout'!G9</f>
        <v/>
      </c>
      <c r="B248" s="61" t="str">
        <f ca="1">IF(A248="", "",'Paste Sample Names Here'!$K$3)</f>
        <v/>
      </c>
      <c r="C248" s="27" t="str">
        <f ca="1">IF(A248="", "", OFFSET('Paste qPCR Data Here'!$F$15, 24*Sheet3!B51, 0))</f>
        <v/>
      </c>
      <c r="D248" s="27" t="str">
        <f t="shared" ca="1" si="6"/>
        <v/>
      </c>
      <c r="E248" s="27" t="str">
        <f t="shared" ca="1" si="7"/>
        <v/>
      </c>
    </row>
    <row r="249" spans="1:5" x14ac:dyDescent="0.2">
      <c r="A249" s="27" t="str">
        <f ca="1">'384 Well qPCR Layout'!G10</f>
        <v/>
      </c>
      <c r="B249" s="62" t="str">
        <f ca="1">IF(A249="", "", 'Paste Sample Names Here'!$O$3)</f>
        <v/>
      </c>
      <c r="C249" s="27" t="str">
        <f ca="1">IF(A249="", "", OFFSET('Paste qPCR Data Here'!$F$15, 24*Sheet3!B52, 0))</f>
        <v/>
      </c>
      <c r="D249" s="27" t="str">
        <f t="shared" ca="1" si="6"/>
        <v/>
      </c>
      <c r="E249" s="27" t="str">
        <f t="shared" ca="1" si="7"/>
        <v/>
      </c>
    </row>
    <row r="250" spans="1:5" x14ac:dyDescent="0.2">
      <c r="A250" s="27" t="str">
        <f ca="1">'384 Well qPCR Layout'!G11</f>
        <v/>
      </c>
      <c r="B250" s="61" t="str">
        <f ca="1">IF(A250="", "",'Paste Sample Names Here'!$K$3)</f>
        <v/>
      </c>
      <c r="C250" s="27" t="str">
        <f ca="1">IF(A250="", "", OFFSET('Paste qPCR Data Here'!$F$15, 24*Sheet3!B53, 0))</f>
        <v/>
      </c>
      <c r="D250" s="27" t="str">
        <f t="shared" ca="1" si="6"/>
        <v/>
      </c>
      <c r="E250" s="27" t="str">
        <f t="shared" ca="1" si="7"/>
        <v/>
      </c>
    </row>
    <row r="251" spans="1:5" x14ac:dyDescent="0.2">
      <c r="A251" s="27" t="str">
        <f ca="1">'384 Well qPCR Layout'!G12</f>
        <v/>
      </c>
      <c r="B251" s="62" t="str">
        <f ca="1">IF(A251="", "", 'Paste Sample Names Here'!$O$3)</f>
        <v/>
      </c>
      <c r="C251" s="27" t="str">
        <f ca="1">IF(A251="", "", OFFSET('Paste qPCR Data Here'!$F$15, 24*Sheet3!B54, 0))</f>
        <v/>
      </c>
      <c r="D251" s="27" t="str">
        <f t="shared" ca="1" si="6"/>
        <v/>
      </c>
      <c r="E251" s="27" t="str">
        <f t="shared" ca="1" si="7"/>
        <v/>
      </c>
    </row>
    <row r="252" spans="1:5" x14ac:dyDescent="0.2">
      <c r="A252" s="27" t="str">
        <f ca="1">'384 Well qPCR Layout'!G13</f>
        <v/>
      </c>
      <c r="B252" s="61" t="str">
        <f ca="1">IF(A252="", "",'Paste Sample Names Here'!$K$3)</f>
        <v/>
      </c>
      <c r="C252" s="27" t="str">
        <f ca="1">IF(A252="", "", OFFSET('Paste qPCR Data Here'!$F$15, 24*Sheet3!B55, 0))</f>
        <v/>
      </c>
      <c r="D252" s="27" t="str">
        <f t="shared" ca="1" si="6"/>
        <v/>
      </c>
      <c r="E252" s="27" t="str">
        <f t="shared" ca="1" si="7"/>
        <v/>
      </c>
    </row>
    <row r="253" spans="1:5" x14ac:dyDescent="0.2">
      <c r="A253" s="27" t="str">
        <f ca="1">'384 Well qPCR Layout'!G14</f>
        <v/>
      </c>
      <c r="B253" s="62" t="str">
        <f ca="1">IF(A253="", "", 'Paste Sample Names Here'!$O$3)</f>
        <v/>
      </c>
      <c r="C253" s="27" t="str">
        <f ca="1">IF(A253="", "", OFFSET('Paste qPCR Data Here'!$F$15, 24*Sheet3!B56, 0))</f>
        <v/>
      </c>
      <c r="D253" s="27" t="str">
        <f t="shared" ca="1" si="6"/>
        <v/>
      </c>
      <c r="E253" s="27" t="str">
        <f t="shared" ca="1" si="7"/>
        <v/>
      </c>
    </row>
    <row r="254" spans="1:5" x14ac:dyDescent="0.2">
      <c r="A254" s="27" t="str">
        <f ca="1">'384 Well qPCR Layout'!G15</f>
        <v/>
      </c>
      <c r="B254" s="61" t="str">
        <f ca="1">IF(A254="", "",'Paste Sample Names Here'!$K$3)</f>
        <v/>
      </c>
      <c r="C254" s="27" t="str">
        <f ca="1">IF(A254="", "", OFFSET('Paste qPCR Data Here'!$F$15, 24*Sheet3!B57, 0))</f>
        <v/>
      </c>
      <c r="D254" s="27" t="str">
        <f t="shared" ca="1" si="6"/>
        <v/>
      </c>
      <c r="E254" s="27" t="str">
        <f t="shared" ca="1" si="7"/>
        <v/>
      </c>
    </row>
    <row r="255" spans="1:5" x14ac:dyDescent="0.2">
      <c r="A255" s="27" t="str">
        <f ca="1">'384 Well qPCR Layout'!G16</f>
        <v/>
      </c>
      <c r="B255" s="62" t="str">
        <f ca="1">IF(A255="", "", 'Paste Sample Names Here'!$O$3)</f>
        <v/>
      </c>
      <c r="C255" s="27" t="str">
        <f ca="1">IF(A255="", "", OFFSET('Paste qPCR Data Here'!$F$15, 24*Sheet3!B58, 0))</f>
        <v/>
      </c>
      <c r="D255" s="27" t="str">
        <f t="shared" ca="1" si="6"/>
        <v/>
      </c>
      <c r="E255" s="27" t="str">
        <f t="shared" ca="1" si="7"/>
        <v/>
      </c>
    </row>
    <row r="256" spans="1:5" x14ac:dyDescent="0.2">
      <c r="A256" s="27" t="str">
        <f ca="1">'384 Well qPCR Layout'!G17</f>
        <v/>
      </c>
      <c r="B256" s="61" t="str">
        <f ca="1">IF(A256="", "",'Paste Sample Names Here'!$K$3)</f>
        <v/>
      </c>
      <c r="C256" s="27" t="str">
        <f ca="1">IF(A256="", "", OFFSET('Paste qPCR Data Here'!$F$15, 24*Sheet3!B59, 0))</f>
        <v/>
      </c>
      <c r="D256" s="27" t="str">
        <f t="shared" ca="1" si="6"/>
        <v/>
      </c>
      <c r="E256" s="27" t="str">
        <f t="shared" ca="1" si="7"/>
        <v/>
      </c>
    </row>
    <row r="257" spans="1:5" x14ac:dyDescent="0.2">
      <c r="A257" s="27" t="str">
        <f ca="1">'384 Well qPCR Layout'!G18</f>
        <v/>
      </c>
      <c r="B257" s="62" t="str">
        <f ca="1">IF(A257="", "", 'Paste Sample Names Here'!$O$3)</f>
        <v/>
      </c>
      <c r="C257" s="27" t="str">
        <f ca="1">IF(A257="", "", OFFSET('Paste qPCR Data Here'!$F$15, 24*Sheet3!B60, 0))</f>
        <v/>
      </c>
      <c r="D257" s="27" t="str">
        <f t="shared" ca="1" si="6"/>
        <v/>
      </c>
      <c r="E257" s="27" t="str">
        <f t="shared" ca="1" si="7"/>
        <v/>
      </c>
    </row>
    <row r="258" spans="1:5" x14ac:dyDescent="0.2">
      <c r="A258" s="27" t="str">
        <f ca="1">'384 Well qPCR Layout'!I3</f>
        <v/>
      </c>
      <c r="B258" s="61" t="str">
        <f ca="1">IF(A258="", "",'Paste Sample Names Here'!$K$3)</f>
        <v/>
      </c>
      <c r="C258" s="27" t="str">
        <f ca="1">IF(A258="", "", OFFSET('Paste qPCR Data Here'!$F$17, 24*Sheet3!B45, 0))</f>
        <v/>
      </c>
      <c r="D258" s="27" t="str">
        <f t="shared" ca="1" si="6"/>
        <v/>
      </c>
      <c r="E258" s="27" t="str">
        <f t="shared" ca="1" si="7"/>
        <v/>
      </c>
    </row>
    <row r="259" spans="1:5" x14ac:dyDescent="0.2">
      <c r="A259" s="27" t="str">
        <f ca="1">'384 Well qPCR Layout'!I4</f>
        <v/>
      </c>
      <c r="B259" s="62" t="str">
        <f ca="1">IF(A259="", "", 'Paste Sample Names Here'!$O$3)</f>
        <v/>
      </c>
      <c r="C259" s="27" t="str">
        <f ca="1">IF(A259="", "", OFFSET('Paste qPCR Data Here'!$F$17, 24*Sheet3!B46, 0))</f>
        <v/>
      </c>
      <c r="D259" s="27" t="str">
        <f t="shared" ca="1" si="6"/>
        <v/>
      </c>
      <c r="E259" s="27" t="str">
        <f t="shared" ca="1" si="7"/>
        <v/>
      </c>
    </row>
    <row r="260" spans="1:5" x14ac:dyDescent="0.2">
      <c r="A260" s="27" t="str">
        <f ca="1">'384 Well qPCR Layout'!I5</f>
        <v/>
      </c>
      <c r="B260" s="61" t="str">
        <f ca="1">IF(A260="", "",'Paste Sample Names Here'!$K$3)</f>
        <v/>
      </c>
      <c r="C260" s="27" t="str">
        <f ca="1">IF(A260="", "", OFFSET('Paste qPCR Data Here'!$F$17, 24*Sheet3!B47, 0))</f>
        <v/>
      </c>
      <c r="D260" s="27" t="str">
        <f t="shared" ca="1" si="6"/>
        <v/>
      </c>
      <c r="E260" s="27" t="str">
        <f t="shared" ca="1" si="7"/>
        <v/>
      </c>
    </row>
    <row r="261" spans="1:5" x14ac:dyDescent="0.2">
      <c r="A261" s="27" t="str">
        <f ca="1">'384 Well qPCR Layout'!I6</f>
        <v/>
      </c>
      <c r="B261" s="62" t="str">
        <f ca="1">IF(A261="", "", 'Paste Sample Names Here'!$O$3)</f>
        <v/>
      </c>
      <c r="C261" s="27" t="str">
        <f ca="1">IF(A261="", "", OFFSET('Paste qPCR Data Here'!$F$17, 24*Sheet3!B48, 0))</f>
        <v/>
      </c>
      <c r="D261" s="27" t="str">
        <f t="shared" ca="1" si="6"/>
        <v/>
      </c>
      <c r="E261" s="27" t="str">
        <f t="shared" ca="1" si="7"/>
        <v/>
      </c>
    </row>
    <row r="262" spans="1:5" x14ac:dyDescent="0.2">
      <c r="A262" s="27" t="str">
        <f ca="1">'384 Well qPCR Layout'!I7</f>
        <v/>
      </c>
      <c r="B262" s="61" t="str">
        <f ca="1">IF(A262="", "",'Paste Sample Names Here'!$K$3)</f>
        <v/>
      </c>
      <c r="C262" s="27" t="str">
        <f ca="1">IF(A262="", "", OFFSET('Paste qPCR Data Here'!$F$17, 24*Sheet3!B49, 0))</f>
        <v/>
      </c>
      <c r="D262" s="27" t="str">
        <f t="shared" ca="1" si="6"/>
        <v/>
      </c>
      <c r="E262" s="27" t="str">
        <f t="shared" ca="1" si="7"/>
        <v/>
      </c>
    </row>
    <row r="263" spans="1:5" x14ac:dyDescent="0.2">
      <c r="A263" s="27" t="str">
        <f ca="1">'384 Well qPCR Layout'!I8</f>
        <v/>
      </c>
      <c r="B263" s="62" t="str">
        <f ca="1">IF(A263="", "", 'Paste Sample Names Here'!$O$3)</f>
        <v/>
      </c>
      <c r="C263" s="27" t="str">
        <f ca="1">IF(A263="", "", OFFSET('Paste qPCR Data Here'!$F$17, 24*Sheet3!B50, 0))</f>
        <v/>
      </c>
      <c r="D263" s="27" t="str">
        <f t="shared" ca="1" si="6"/>
        <v/>
      </c>
      <c r="E263" s="27" t="str">
        <f t="shared" ca="1" si="7"/>
        <v/>
      </c>
    </row>
    <row r="264" spans="1:5" x14ac:dyDescent="0.2">
      <c r="A264" s="27" t="str">
        <f ca="1">'384 Well qPCR Layout'!I9</f>
        <v/>
      </c>
      <c r="B264" s="61" t="str">
        <f ca="1">IF(A264="", "",'Paste Sample Names Here'!$K$3)</f>
        <v/>
      </c>
      <c r="C264" s="27" t="str">
        <f ca="1">IF(A264="", "", OFFSET('Paste qPCR Data Here'!$F$17, 24*Sheet3!B51, 0))</f>
        <v/>
      </c>
      <c r="D264" s="27" t="str">
        <f t="shared" ca="1" si="6"/>
        <v/>
      </c>
      <c r="E264" s="27" t="str">
        <f t="shared" ca="1" si="7"/>
        <v/>
      </c>
    </row>
    <row r="265" spans="1:5" x14ac:dyDescent="0.2">
      <c r="A265" s="27" t="str">
        <f ca="1">'384 Well qPCR Layout'!I10</f>
        <v/>
      </c>
      <c r="B265" s="62" t="str">
        <f ca="1">IF(A265="", "", 'Paste Sample Names Here'!$O$3)</f>
        <v/>
      </c>
      <c r="C265" s="27" t="str">
        <f ca="1">IF(A265="", "", OFFSET('Paste qPCR Data Here'!$F$17, 24*Sheet3!B52, 0))</f>
        <v/>
      </c>
      <c r="D265" s="27" t="str">
        <f t="shared" ca="1" si="6"/>
        <v/>
      </c>
      <c r="E265" s="27" t="str">
        <f t="shared" ca="1" si="7"/>
        <v/>
      </c>
    </row>
    <row r="266" spans="1:5" x14ac:dyDescent="0.2">
      <c r="A266" s="27" t="str">
        <f ca="1">'384 Well qPCR Layout'!I11</f>
        <v/>
      </c>
      <c r="B266" s="61" t="str">
        <f ca="1">IF(A266="", "",'Paste Sample Names Here'!$K$3)</f>
        <v/>
      </c>
      <c r="C266" s="27" t="str">
        <f ca="1">IF(A266="", "", OFFSET('Paste qPCR Data Here'!$F$17, 24*Sheet3!B53, 0))</f>
        <v/>
      </c>
      <c r="D266" s="27" t="str">
        <f t="shared" ca="1" si="6"/>
        <v/>
      </c>
      <c r="E266" s="27" t="str">
        <f t="shared" ca="1" si="7"/>
        <v/>
      </c>
    </row>
    <row r="267" spans="1:5" x14ac:dyDescent="0.2">
      <c r="A267" s="27" t="str">
        <f ca="1">'384 Well qPCR Layout'!I12</f>
        <v/>
      </c>
      <c r="B267" s="62" t="str">
        <f ca="1">IF(A267="", "", 'Paste Sample Names Here'!$O$3)</f>
        <v/>
      </c>
      <c r="C267" s="27" t="str">
        <f ca="1">IF(A267="", "", OFFSET('Paste qPCR Data Here'!$F$17, 24*Sheet3!B54, 0))</f>
        <v/>
      </c>
      <c r="D267" s="27" t="str">
        <f t="shared" ca="1" si="6"/>
        <v/>
      </c>
      <c r="E267" s="27" t="str">
        <f t="shared" ca="1" si="7"/>
        <v/>
      </c>
    </row>
    <row r="268" spans="1:5" x14ac:dyDescent="0.2">
      <c r="A268" s="27" t="str">
        <f ca="1">'384 Well qPCR Layout'!I13</f>
        <v/>
      </c>
      <c r="B268" s="61" t="str">
        <f ca="1">IF(A268="", "",'Paste Sample Names Here'!$K$3)</f>
        <v/>
      </c>
      <c r="C268" s="27" t="str">
        <f ca="1">IF(A268="", "", OFFSET('Paste qPCR Data Here'!$F$17, 24*Sheet3!B55, 0))</f>
        <v/>
      </c>
      <c r="D268" s="27" t="str">
        <f t="shared" ca="1" si="6"/>
        <v/>
      </c>
      <c r="E268" s="27" t="str">
        <f t="shared" ca="1" si="7"/>
        <v/>
      </c>
    </row>
    <row r="269" spans="1:5" x14ac:dyDescent="0.2">
      <c r="A269" s="27" t="str">
        <f ca="1">'384 Well qPCR Layout'!I14</f>
        <v/>
      </c>
      <c r="B269" s="62" t="str">
        <f ca="1">IF(A269="", "", 'Paste Sample Names Here'!$O$3)</f>
        <v/>
      </c>
      <c r="C269" s="27" t="str">
        <f ca="1">IF(A269="", "", OFFSET('Paste qPCR Data Here'!$F$17, 24*Sheet3!B56, 0))</f>
        <v/>
      </c>
      <c r="D269" s="27" t="str">
        <f t="shared" ca="1" si="6"/>
        <v/>
      </c>
      <c r="E269" s="27" t="str">
        <f t="shared" ca="1" si="7"/>
        <v/>
      </c>
    </row>
    <row r="270" spans="1:5" x14ac:dyDescent="0.2">
      <c r="A270" s="27" t="str">
        <f ca="1">'384 Well qPCR Layout'!I15</f>
        <v/>
      </c>
      <c r="B270" s="61" t="str">
        <f ca="1">IF(A270="", "",'Paste Sample Names Here'!$K$3)</f>
        <v/>
      </c>
      <c r="C270" s="27" t="str">
        <f ca="1">IF(A270="", "", OFFSET('Paste qPCR Data Here'!$F$17, 24*Sheet3!B57, 0))</f>
        <v/>
      </c>
      <c r="D270" s="27" t="str">
        <f t="shared" ca="1" si="6"/>
        <v/>
      </c>
      <c r="E270" s="27" t="str">
        <f t="shared" ca="1" si="7"/>
        <v/>
      </c>
    </row>
    <row r="271" spans="1:5" x14ac:dyDescent="0.2">
      <c r="A271" s="27" t="str">
        <f ca="1">'384 Well qPCR Layout'!I16</f>
        <v/>
      </c>
      <c r="B271" s="62" t="str">
        <f ca="1">IF(A271="", "", 'Paste Sample Names Here'!$O$3)</f>
        <v/>
      </c>
      <c r="C271" s="27" t="str">
        <f ca="1">IF(A271="", "", OFFSET('Paste qPCR Data Here'!$F$17, 24*Sheet3!B58, 0))</f>
        <v/>
      </c>
      <c r="D271" s="27" t="str">
        <f t="shared" ca="1" si="6"/>
        <v/>
      </c>
      <c r="E271" s="27" t="str">
        <f t="shared" ca="1" si="7"/>
        <v/>
      </c>
    </row>
    <row r="272" spans="1:5" x14ac:dyDescent="0.2">
      <c r="A272" s="27" t="str">
        <f ca="1">'384 Well qPCR Layout'!I17</f>
        <v/>
      </c>
      <c r="B272" s="61" t="str">
        <f ca="1">IF(A272="", "",'Paste Sample Names Here'!$K$3)</f>
        <v/>
      </c>
      <c r="C272" s="27" t="str">
        <f ca="1">IF(A272="", "", OFFSET('Paste qPCR Data Here'!$F$17, 24*Sheet3!B59, 0))</f>
        <v/>
      </c>
      <c r="D272" s="27" t="str">
        <f t="shared" ca="1" si="6"/>
        <v/>
      </c>
      <c r="E272" s="27" t="str">
        <f t="shared" ca="1" si="7"/>
        <v/>
      </c>
    </row>
    <row r="273" spans="1:5" x14ac:dyDescent="0.2">
      <c r="A273" s="27" t="str">
        <f ca="1">'384 Well qPCR Layout'!I18</f>
        <v/>
      </c>
      <c r="B273" s="62" t="str">
        <f ca="1">IF(A273="", "", 'Paste Sample Names Here'!$O$3)</f>
        <v/>
      </c>
      <c r="C273" s="27" t="str">
        <f ca="1">IF(A273="", "", OFFSET('Paste qPCR Data Here'!$F$17, 24*Sheet3!B60, 0))</f>
        <v/>
      </c>
      <c r="D273" s="27" t="str">
        <f t="shared" ca="1" si="6"/>
        <v/>
      </c>
      <c r="E273" s="27" t="str">
        <f t="shared" ca="1" si="7"/>
        <v/>
      </c>
    </row>
    <row r="274" spans="1:5" x14ac:dyDescent="0.2">
      <c r="A274" s="27" t="str">
        <f ca="1">'384 Well qPCR Layout'!K3</f>
        <v/>
      </c>
      <c r="B274" s="61" t="str">
        <f ca="1">IF(A274="", "",'Paste Sample Names Here'!$K$3)</f>
        <v/>
      </c>
      <c r="C274" s="27" t="str">
        <f ca="1">IF(A274="", "", OFFSET('Paste qPCR Data Here'!$F$19, 24*Sheet3!B45, 0))</f>
        <v/>
      </c>
      <c r="D274" s="27" t="str">
        <f t="shared" ca="1" si="6"/>
        <v/>
      </c>
      <c r="E274" s="27" t="str">
        <f t="shared" ca="1" si="7"/>
        <v/>
      </c>
    </row>
    <row r="275" spans="1:5" x14ac:dyDescent="0.2">
      <c r="A275" s="27" t="str">
        <f ca="1">'384 Well qPCR Layout'!K4</f>
        <v/>
      </c>
      <c r="B275" s="62" t="str">
        <f ca="1">IF(A275="", "", 'Paste Sample Names Here'!$O$3)</f>
        <v/>
      </c>
      <c r="C275" s="27" t="str">
        <f ca="1">IF(A275="", "", OFFSET('Paste qPCR Data Here'!$F$19, 24*Sheet3!B46, 0))</f>
        <v/>
      </c>
      <c r="D275" s="27" t="str">
        <f t="shared" ref="D275:D338" ca="1" si="8">IF(C275="", "", 2^(SLOPE(LOG($B$4:$B$7,2),$C$4:$C$7)*C275+INTERCEPT(LOG($B$4:$B$7,2),$C$4:$C$7)))</f>
        <v/>
      </c>
      <c r="E275" s="27" t="str">
        <f t="shared" ref="E275:E338" ca="1" si="9">IF(C275="", "", D275*B275)</f>
        <v/>
      </c>
    </row>
    <row r="276" spans="1:5" x14ac:dyDescent="0.2">
      <c r="A276" s="27" t="str">
        <f ca="1">'384 Well qPCR Layout'!K5</f>
        <v/>
      </c>
      <c r="B276" s="61" t="str">
        <f ca="1">IF(A276="", "",'Paste Sample Names Here'!$K$3)</f>
        <v/>
      </c>
      <c r="C276" s="27" t="str">
        <f ca="1">IF(A276="", "", OFFSET('Paste qPCR Data Here'!$F$19, 24*Sheet3!B47, 0))</f>
        <v/>
      </c>
      <c r="D276" s="27" t="str">
        <f t="shared" ca="1" si="8"/>
        <v/>
      </c>
      <c r="E276" s="27" t="str">
        <f t="shared" ca="1" si="9"/>
        <v/>
      </c>
    </row>
    <row r="277" spans="1:5" x14ac:dyDescent="0.2">
      <c r="A277" s="27" t="str">
        <f ca="1">'384 Well qPCR Layout'!K6</f>
        <v/>
      </c>
      <c r="B277" s="62" t="str">
        <f ca="1">IF(A277="", "", 'Paste Sample Names Here'!$O$3)</f>
        <v/>
      </c>
      <c r="C277" s="27" t="str">
        <f ca="1">IF(A277="", "", OFFSET('Paste qPCR Data Here'!$F$19, 24*Sheet3!B48, 0))</f>
        <v/>
      </c>
      <c r="D277" s="27" t="str">
        <f t="shared" ca="1" si="8"/>
        <v/>
      </c>
      <c r="E277" s="27" t="str">
        <f t="shared" ca="1" si="9"/>
        <v/>
      </c>
    </row>
    <row r="278" spans="1:5" x14ac:dyDescent="0.2">
      <c r="A278" s="27" t="str">
        <f ca="1">'384 Well qPCR Layout'!K7</f>
        <v/>
      </c>
      <c r="B278" s="61" t="str">
        <f ca="1">IF(A278="", "",'Paste Sample Names Here'!$K$3)</f>
        <v/>
      </c>
      <c r="C278" s="27" t="str">
        <f ca="1">IF(A278="", "", OFFSET('Paste qPCR Data Here'!$F$19, 24*Sheet3!B49, 0))</f>
        <v/>
      </c>
      <c r="D278" s="27" t="str">
        <f t="shared" ca="1" si="8"/>
        <v/>
      </c>
      <c r="E278" s="27" t="str">
        <f t="shared" ca="1" si="9"/>
        <v/>
      </c>
    </row>
    <row r="279" spans="1:5" x14ac:dyDescent="0.2">
      <c r="A279" s="27" t="str">
        <f ca="1">'384 Well qPCR Layout'!K8</f>
        <v/>
      </c>
      <c r="B279" s="62" t="str">
        <f ca="1">IF(A279="", "", 'Paste Sample Names Here'!$O$3)</f>
        <v/>
      </c>
      <c r="C279" s="27" t="str">
        <f ca="1">IF(A279="", "", OFFSET('Paste qPCR Data Here'!$F$19, 24*Sheet3!B50, 0))</f>
        <v/>
      </c>
      <c r="D279" s="27" t="str">
        <f t="shared" ca="1" si="8"/>
        <v/>
      </c>
      <c r="E279" s="27" t="str">
        <f t="shared" ca="1" si="9"/>
        <v/>
      </c>
    </row>
    <row r="280" spans="1:5" x14ac:dyDescent="0.2">
      <c r="A280" s="27" t="str">
        <f ca="1">'384 Well qPCR Layout'!K9</f>
        <v/>
      </c>
      <c r="B280" s="61" t="str">
        <f ca="1">IF(A280="", "",'Paste Sample Names Here'!$K$3)</f>
        <v/>
      </c>
      <c r="C280" s="27" t="str">
        <f ca="1">IF(A280="", "", OFFSET('Paste qPCR Data Here'!$F$19, 24*Sheet3!B51, 0))</f>
        <v/>
      </c>
      <c r="D280" s="27" t="str">
        <f t="shared" ca="1" si="8"/>
        <v/>
      </c>
      <c r="E280" s="27" t="str">
        <f t="shared" ca="1" si="9"/>
        <v/>
      </c>
    </row>
    <row r="281" spans="1:5" x14ac:dyDescent="0.2">
      <c r="A281" s="27" t="str">
        <f ca="1">'384 Well qPCR Layout'!K10</f>
        <v/>
      </c>
      <c r="B281" s="62" t="str">
        <f ca="1">IF(A281="", "", 'Paste Sample Names Here'!$O$3)</f>
        <v/>
      </c>
      <c r="C281" s="27" t="str">
        <f ca="1">IF(A281="", "", OFFSET('Paste qPCR Data Here'!$F$19, 24*Sheet3!B52, 0))</f>
        <v/>
      </c>
      <c r="D281" s="27" t="str">
        <f t="shared" ca="1" si="8"/>
        <v/>
      </c>
      <c r="E281" s="27" t="str">
        <f t="shared" ca="1" si="9"/>
        <v/>
      </c>
    </row>
    <row r="282" spans="1:5" x14ac:dyDescent="0.2">
      <c r="A282" s="27" t="str">
        <f ca="1">'384 Well qPCR Layout'!K11</f>
        <v/>
      </c>
      <c r="B282" s="61" t="str">
        <f ca="1">IF(A282="", "",'Paste Sample Names Here'!$K$3)</f>
        <v/>
      </c>
      <c r="C282" s="27" t="str">
        <f ca="1">IF(A282="", "", OFFSET('Paste qPCR Data Here'!$F$19, 24*Sheet3!B53, 0))</f>
        <v/>
      </c>
      <c r="D282" s="27" t="str">
        <f t="shared" ca="1" si="8"/>
        <v/>
      </c>
      <c r="E282" s="27" t="str">
        <f t="shared" ca="1" si="9"/>
        <v/>
      </c>
    </row>
    <row r="283" spans="1:5" x14ac:dyDescent="0.2">
      <c r="A283" s="27" t="str">
        <f ca="1">'384 Well qPCR Layout'!K12</f>
        <v/>
      </c>
      <c r="B283" s="62" t="str">
        <f ca="1">IF(A283="", "", 'Paste Sample Names Here'!$O$3)</f>
        <v/>
      </c>
      <c r="C283" s="27" t="str">
        <f ca="1">IF(A283="", "", OFFSET('Paste qPCR Data Here'!$F$19, 24*Sheet3!B54, 0))</f>
        <v/>
      </c>
      <c r="D283" s="27" t="str">
        <f t="shared" ca="1" si="8"/>
        <v/>
      </c>
      <c r="E283" s="27" t="str">
        <f t="shared" ca="1" si="9"/>
        <v/>
      </c>
    </row>
    <row r="284" spans="1:5" x14ac:dyDescent="0.2">
      <c r="A284" s="27" t="str">
        <f ca="1">'384 Well qPCR Layout'!K13</f>
        <v/>
      </c>
      <c r="B284" s="61" t="str">
        <f ca="1">IF(A284="", "",'Paste Sample Names Here'!$K$3)</f>
        <v/>
      </c>
      <c r="C284" s="27" t="str">
        <f ca="1">IF(A284="", "", OFFSET('Paste qPCR Data Here'!$F$19, 24*Sheet3!B55, 0))</f>
        <v/>
      </c>
      <c r="D284" s="27" t="str">
        <f t="shared" ca="1" si="8"/>
        <v/>
      </c>
      <c r="E284" s="27" t="str">
        <f t="shared" ca="1" si="9"/>
        <v/>
      </c>
    </row>
    <row r="285" spans="1:5" x14ac:dyDescent="0.2">
      <c r="A285" s="27" t="str">
        <f ca="1">'384 Well qPCR Layout'!K14</f>
        <v/>
      </c>
      <c r="B285" s="62" t="str">
        <f ca="1">IF(A285="", "", 'Paste Sample Names Here'!$O$3)</f>
        <v/>
      </c>
      <c r="C285" s="27" t="str">
        <f ca="1">IF(A285="", "", OFFSET('Paste qPCR Data Here'!$F$19, 24*Sheet3!B56, 0))</f>
        <v/>
      </c>
      <c r="D285" s="27" t="str">
        <f t="shared" ca="1" si="8"/>
        <v/>
      </c>
      <c r="E285" s="27" t="str">
        <f t="shared" ca="1" si="9"/>
        <v/>
      </c>
    </row>
    <row r="286" spans="1:5" x14ac:dyDescent="0.2">
      <c r="A286" s="27" t="str">
        <f ca="1">'384 Well qPCR Layout'!K15</f>
        <v/>
      </c>
      <c r="B286" s="61" t="str">
        <f ca="1">IF(A286="", "",'Paste Sample Names Here'!$K$3)</f>
        <v/>
      </c>
      <c r="C286" s="27" t="str">
        <f ca="1">IF(A286="", "", OFFSET('Paste qPCR Data Here'!$F$19, 24*Sheet3!B57, 0))</f>
        <v/>
      </c>
      <c r="D286" s="27" t="str">
        <f t="shared" ca="1" si="8"/>
        <v/>
      </c>
      <c r="E286" s="27" t="str">
        <f t="shared" ca="1" si="9"/>
        <v/>
      </c>
    </row>
    <row r="287" spans="1:5" x14ac:dyDescent="0.2">
      <c r="A287" s="27" t="str">
        <f ca="1">'384 Well qPCR Layout'!K16</f>
        <v/>
      </c>
      <c r="B287" s="62" t="str">
        <f ca="1">IF(A287="", "", 'Paste Sample Names Here'!$O$3)</f>
        <v/>
      </c>
      <c r="C287" s="27" t="str">
        <f ca="1">IF(A287="", "", OFFSET('Paste qPCR Data Here'!$F$19, 24*Sheet3!B58, 0))</f>
        <v/>
      </c>
      <c r="D287" s="27" t="str">
        <f t="shared" ca="1" si="8"/>
        <v/>
      </c>
      <c r="E287" s="27" t="str">
        <f t="shared" ca="1" si="9"/>
        <v/>
      </c>
    </row>
    <row r="288" spans="1:5" x14ac:dyDescent="0.2">
      <c r="A288" s="27" t="str">
        <f ca="1">'384 Well qPCR Layout'!K17</f>
        <v/>
      </c>
      <c r="B288" s="61" t="str">
        <f ca="1">IF(A288="", "",'Paste Sample Names Here'!$K$3)</f>
        <v/>
      </c>
      <c r="C288" s="27" t="str">
        <f ca="1">IF(A288="", "", OFFSET('Paste qPCR Data Here'!$F$19, 24*Sheet3!B59, 0))</f>
        <v/>
      </c>
      <c r="D288" s="27" t="str">
        <f t="shared" ca="1" si="8"/>
        <v/>
      </c>
      <c r="E288" s="27" t="str">
        <f t="shared" ca="1" si="9"/>
        <v/>
      </c>
    </row>
    <row r="289" spans="1:5" x14ac:dyDescent="0.2">
      <c r="A289" s="27" t="str">
        <f ca="1">'384 Well qPCR Layout'!K18</f>
        <v/>
      </c>
      <c r="B289" s="62" t="str">
        <f ca="1">IF(A289="", "", 'Paste Sample Names Here'!$O$3)</f>
        <v/>
      </c>
      <c r="C289" s="27" t="str">
        <f ca="1">IF(A289="", "", OFFSET('Paste qPCR Data Here'!$F$19, 24*Sheet3!B60, 0))</f>
        <v/>
      </c>
      <c r="D289" s="27" t="str">
        <f t="shared" ca="1" si="8"/>
        <v/>
      </c>
      <c r="E289" s="27" t="str">
        <f t="shared" ca="1" si="9"/>
        <v/>
      </c>
    </row>
    <row r="290" spans="1:5" x14ac:dyDescent="0.2">
      <c r="A290" s="27" t="str">
        <f ca="1">'384 Well qPCR Layout'!M3</f>
        <v/>
      </c>
      <c r="B290" s="61" t="str">
        <f ca="1">IF(A290="", "",'Paste Sample Names Here'!$K$3)</f>
        <v/>
      </c>
      <c r="C290" s="27" t="str">
        <f ca="1">IF(A290="", "", OFFSET('Paste qPCR Data Here'!$F$21, 24*Sheet3!B45, 0))</f>
        <v/>
      </c>
      <c r="D290" s="27" t="str">
        <f t="shared" ca="1" si="8"/>
        <v/>
      </c>
      <c r="E290" s="27" t="str">
        <f t="shared" ca="1" si="9"/>
        <v/>
      </c>
    </row>
    <row r="291" spans="1:5" x14ac:dyDescent="0.2">
      <c r="A291" s="27" t="str">
        <f ca="1">'384 Well qPCR Layout'!M4</f>
        <v/>
      </c>
      <c r="B291" s="62" t="str">
        <f ca="1">IF(A291="", "", 'Paste Sample Names Here'!$O$3)</f>
        <v/>
      </c>
      <c r="C291" s="27" t="str">
        <f ca="1">IF(A291="", "", OFFSET('Paste qPCR Data Here'!$F$21, 24*Sheet3!B46, 0))</f>
        <v/>
      </c>
      <c r="D291" s="27" t="str">
        <f t="shared" ca="1" si="8"/>
        <v/>
      </c>
      <c r="E291" s="27" t="str">
        <f t="shared" ca="1" si="9"/>
        <v/>
      </c>
    </row>
    <row r="292" spans="1:5" x14ac:dyDescent="0.2">
      <c r="A292" s="27" t="str">
        <f ca="1">'384 Well qPCR Layout'!M5</f>
        <v/>
      </c>
      <c r="B292" s="61" t="str">
        <f ca="1">IF(A292="", "",'Paste Sample Names Here'!$K$3)</f>
        <v/>
      </c>
      <c r="C292" s="27" t="str">
        <f ca="1">IF(A292="", "", OFFSET('Paste qPCR Data Here'!$F$21, 24*Sheet3!B47, 0))</f>
        <v/>
      </c>
      <c r="D292" s="27" t="str">
        <f t="shared" ca="1" si="8"/>
        <v/>
      </c>
      <c r="E292" s="27" t="str">
        <f t="shared" ca="1" si="9"/>
        <v/>
      </c>
    </row>
    <row r="293" spans="1:5" x14ac:dyDescent="0.2">
      <c r="A293" s="27" t="str">
        <f ca="1">'384 Well qPCR Layout'!M6</f>
        <v/>
      </c>
      <c r="B293" s="62" t="str">
        <f ca="1">IF(A293="", "", 'Paste Sample Names Here'!$O$3)</f>
        <v/>
      </c>
      <c r="C293" s="27" t="str">
        <f ca="1">IF(A293="", "", OFFSET('Paste qPCR Data Here'!$F$21, 24*Sheet3!B48, 0))</f>
        <v/>
      </c>
      <c r="D293" s="27" t="str">
        <f t="shared" ca="1" si="8"/>
        <v/>
      </c>
      <c r="E293" s="27" t="str">
        <f t="shared" ca="1" si="9"/>
        <v/>
      </c>
    </row>
    <row r="294" spans="1:5" x14ac:dyDescent="0.2">
      <c r="A294" s="27" t="str">
        <f ca="1">'384 Well qPCR Layout'!M7</f>
        <v/>
      </c>
      <c r="B294" s="61" t="str">
        <f ca="1">IF(A294="", "",'Paste Sample Names Here'!$K$3)</f>
        <v/>
      </c>
      <c r="C294" s="27" t="str">
        <f ca="1">IF(A294="", "", OFFSET('Paste qPCR Data Here'!$F$21, 24*Sheet3!B49, 0))</f>
        <v/>
      </c>
      <c r="D294" s="27" t="str">
        <f t="shared" ca="1" si="8"/>
        <v/>
      </c>
      <c r="E294" s="27" t="str">
        <f t="shared" ca="1" si="9"/>
        <v/>
      </c>
    </row>
    <row r="295" spans="1:5" x14ac:dyDescent="0.2">
      <c r="A295" s="27" t="str">
        <f ca="1">'384 Well qPCR Layout'!M8</f>
        <v/>
      </c>
      <c r="B295" s="62" t="str">
        <f ca="1">IF(A295="", "", 'Paste Sample Names Here'!$O$3)</f>
        <v/>
      </c>
      <c r="C295" s="27" t="str">
        <f ca="1">IF(A295="", "", OFFSET('Paste qPCR Data Here'!$F$21, 24*Sheet3!B50, 0))</f>
        <v/>
      </c>
      <c r="D295" s="27" t="str">
        <f t="shared" ca="1" si="8"/>
        <v/>
      </c>
      <c r="E295" s="27" t="str">
        <f t="shared" ca="1" si="9"/>
        <v/>
      </c>
    </row>
    <row r="296" spans="1:5" x14ac:dyDescent="0.2">
      <c r="A296" s="27" t="str">
        <f ca="1">'384 Well qPCR Layout'!M9</f>
        <v/>
      </c>
      <c r="B296" s="61" t="str">
        <f ca="1">IF(A296="", "",'Paste Sample Names Here'!$K$3)</f>
        <v/>
      </c>
      <c r="C296" s="27" t="str">
        <f ca="1">IF(A296="", "", OFFSET('Paste qPCR Data Here'!$F$21, 24*Sheet3!B51, 0))</f>
        <v/>
      </c>
      <c r="D296" s="27" t="str">
        <f t="shared" ca="1" si="8"/>
        <v/>
      </c>
      <c r="E296" s="27" t="str">
        <f t="shared" ca="1" si="9"/>
        <v/>
      </c>
    </row>
    <row r="297" spans="1:5" x14ac:dyDescent="0.2">
      <c r="A297" s="27" t="str">
        <f ca="1">'384 Well qPCR Layout'!M10</f>
        <v/>
      </c>
      <c r="B297" s="62" t="str">
        <f ca="1">IF(A297="", "", 'Paste Sample Names Here'!$O$3)</f>
        <v/>
      </c>
      <c r="C297" s="27" t="str">
        <f ca="1">IF(A297="", "", OFFSET('Paste qPCR Data Here'!$F$21, 24*Sheet3!B52, 0))</f>
        <v/>
      </c>
      <c r="D297" s="27" t="str">
        <f t="shared" ca="1" si="8"/>
        <v/>
      </c>
      <c r="E297" s="27" t="str">
        <f t="shared" ca="1" si="9"/>
        <v/>
      </c>
    </row>
    <row r="298" spans="1:5" x14ac:dyDescent="0.2">
      <c r="A298" s="27" t="str">
        <f ca="1">'384 Well qPCR Layout'!M11</f>
        <v/>
      </c>
      <c r="B298" s="61" t="str">
        <f ca="1">IF(A298="", "",'Paste Sample Names Here'!$K$3)</f>
        <v/>
      </c>
      <c r="C298" s="27" t="str">
        <f ca="1">IF(A298="", "", OFFSET('Paste qPCR Data Here'!$F$21, 24*Sheet3!B53, 0))</f>
        <v/>
      </c>
      <c r="D298" s="27" t="str">
        <f t="shared" ca="1" si="8"/>
        <v/>
      </c>
      <c r="E298" s="27" t="str">
        <f t="shared" ca="1" si="9"/>
        <v/>
      </c>
    </row>
    <row r="299" spans="1:5" x14ac:dyDescent="0.2">
      <c r="A299" s="27" t="str">
        <f ca="1">'384 Well qPCR Layout'!M12</f>
        <v/>
      </c>
      <c r="B299" s="62" t="str">
        <f ca="1">IF(A299="", "", 'Paste Sample Names Here'!$O$3)</f>
        <v/>
      </c>
      <c r="C299" s="27" t="str">
        <f ca="1">IF(A299="", "", OFFSET('Paste qPCR Data Here'!$F$21, 24*Sheet3!B54, 0))</f>
        <v/>
      </c>
      <c r="D299" s="27" t="str">
        <f t="shared" ca="1" si="8"/>
        <v/>
      </c>
      <c r="E299" s="27" t="str">
        <f t="shared" ca="1" si="9"/>
        <v/>
      </c>
    </row>
    <row r="300" spans="1:5" x14ac:dyDescent="0.2">
      <c r="A300" s="27" t="str">
        <f ca="1">'384 Well qPCR Layout'!M13</f>
        <v/>
      </c>
      <c r="B300" s="61" t="str">
        <f ca="1">IF(A300="", "",'Paste Sample Names Here'!$K$3)</f>
        <v/>
      </c>
      <c r="C300" s="27" t="str">
        <f ca="1">IF(A300="", "", OFFSET('Paste qPCR Data Here'!$F$21, 24*Sheet3!B55, 0))</f>
        <v/>
      </c>
      <c r="D300" s="27" t="str">
        <f t="shared" ca="1" si="8"/>
        <v/>
      </c>
      <c r="E300" s="27" t="str">
        <f t="shared" ca="1" si="9"/>
        <v/>
      </c>
    </row>
    <row r="301" spans="1:5" x14ac:dyDescent="0.2">
      <c r="A301" s="27" t="str">
        <f ca="1">'384 Well qPCR Layout'!M14</f>
        <v/>
      </c>
      <c r="B301" s="62" t="str">
        <f ca="1">IF(A301="", "", 'Paste Sample Names Here'!$O$3)</f>
        <v/>
      </c>
      <c r="C301" s="27" t="str">
        <f ca="1">IF(A301="", "", OFFSET('Paste qPCR Data Here'!$F$21, 24*Sheet3!B56, 0))</f>
        <v/>
      </c>
      <c r="D301" s="27" t="str">
        <f t="shared" ca="1" si="8"/>
        <v/>
      </c>
      <c r="E301" s="27" t="str">
        <f t="shared" ca="1" si="9"/>
        <v/>
      </c>
    </row>
    <row r="302" spans="1:5" x14ac:dyDescent="0.2">
      <c r="A302" s="27" t="str">
        <f ca="1">'384 Well qPCR Layout'!M15</f>
        <v/>
      </c>
      <c r="B302" s="61" t="str">
        <f ca="1">IF(A302="", "",'Paste Sample Names Here'!$K$3)</f>
        <v/>
      </c>
      <c r="C302" s="27" t="str">
        <f ca="1">IF(A302="", "", OFFSET('Paste qPCR Data Here'!$F$21, 24*Sheet3!B57, 0))</f>
        <v/>
      </c>
      <c r="D302" s="27" t="str">
        <f t="shared" ca="1" si="8"/>
        <v/>
      </c>
      <c r="E302" s="27" t="str">
        <f t="shared" ca="1" si="9"/>
        <v/>
      </c>
    </row>
    <row r="303" spans="1:5" x14ac:dyDescent="0.2">
      <c r="A303" s="27" t="str">
        <f ca="1">'384 Well qPCR Layout'!M16</f>
        <v/>
      </c>
      <c r="B303" s="62" t="str">
        <f ca="1">IF(A303="", "", 'Paste Sample Names Here'!$O$3)</f>
        <v/>
      </c>
      <c r="C303" s="27" t="str">
        <f ca="1">IF(A303="", "", OFFSET('Paste qPCR Data Here'!$F$21, 24*Sheet3!B58, 0))</f>
        <v/>
      </c>
      <c r="D303" s="27" t="str">
        <f t="shared" ca="1" si="8"/>
        <v/>
      </c>
      <c r="E303" s="27" t="str">
        <f t="shared" ca="1" si="9"/>
        <v/>
      </c>
    </row>
    <row r="304" spans="1:5" x14ac:dyDescent="0.2">
      <c r="A304" s="27" t="str">
        <f ca="1">'384 Well qPCR Layout'!M17</f>
        <v/>
      </c>
      <c r="B304" s="61" t="str">
        <f ca="1">IF(A304="", "",'Paste Sample Names Here'!$K$3)</f>
        <v/>
      </c>
      <c r="C304" s="27" t="str">
        <f ca="1">IF(A304="", "", OFFSET('Paste qPCR Data Here'!$F$21, 24*Sheet3!B59, 0))</f>
        <v/>
      </c>
      <c r="D304" s="27" t="str">
        <f t="shared" ca="1" si="8"/>
        <v/>
      </c>
      <c r="E304" s="27" t="str">
        <f t="shared" ca="1" si="9"/>
        <v/>
      </c>
    </row>
    <row r="305" spans="1:5" x14ac:dyDescent="0.2">
      <c r="A305" s="27" t="str">
        <f ca="1">'384 Well qPCR Layout'!M18</f>
        <v/>
      </c>
      <c r="B305" s="62" t="str">
        <f ca="1">IF(A305="", "", 'Paste Sample Names Here'!$O$3)</f>
        <v/>
      </c>
      <c r="C305" s="27" t="str">
        <f ca="1">IF(A305="", "", OFFSET('Paste qPCR Data Here'!$F$21, 24*Sheet3!B60, 0))</f>
        <v/>
      </c>
      <c r="D305" s="27" t="str">
        <f t="shared" ca="1" si="8"/>
        <v/>
      </c>
      <c r="E305" s="27" t="str">
        <f t="shared" ca="1" si="9"/>
        <v/>
      </c>
    </row>
    <row r="306" spans="1:5" x14ac:dyDescent="0.2">
      <c r="A306" s="27" t="str">
        <f ca="1">'384 Well qPCR Layout'!O3</f>
        <v/>
      </c>
      <c r="B306" s="61" t="str">
        <f ca="1">IF(A306="", "",'Paste Sample Names Here'!$K$3)</f>
        <v/>
      </c>
      <c r="C306" s="27" t="str">
        <f ca="1">IF(A306="", "", OFFSET('Paste qPCR Data Here'!$F$23, 24*Sheet3!B45, 0))</f>
        <v/>
      </c>
      <c r="D306" s="27" t="str">
        <f t="shared" ca="1" si="8"/>
        <v/>
      </c>
      <c r="E306" s="27" t="str">
        <f t="shared" ca="1" si="9"/>
        <v/>
      </c>
    </row>
    <row r="307" spans="1:5" x14ac:dyDescent="0.2">
      <c r="A307" s="27" t="str">
        <f ca="1">'384 Well qPCR Layout'!O4</f>
        <v/>
      </c>
      <c r="B307" s="62" t="str">
        <f ca="1">IF(A307="", "", 'Paste Sample Names Here'!$O$3)</f>
        <v/>
      </c>
      <c r="C307" s="27" t="str">
        <f ca="1">IF(A307="", "", OFFSET('Paste qPCR Data Here'!$F$23, 24*Sheet3!B46, 0))</f>
        <v/>
      </c>
      <c r="D307" s="27" t="str">
        <f t="shared" ca="1" si="8"/>
        <v/>
      </c>
      <c r="E307" s="27" t="str">
        <f t="shared" ca="1" si="9"/>
        <v/>
      </c>
    </row>
    <row r="308" spans="1:5" x14ac:dyDescent="0.2">
      <c r="A308" s="27" t="str">
        <f ca="1">'384 Well qPCR Layout'!O5</f>
        <v/>
      </c>
      <c r="B308" s="61" t="str">
        <f ca="1">IF(A308="", "",'Paste Sample Names Here'!$K$3)</f>
        <v/>
      </c>
      <c r="C308" s="27" t="str">
        <f ca="1">IF(A308="", "", OFFSET('Paste qPCR Data Here'!$F$23, 24*Sheet3!B47, 0))</f>
        <v/>
      </c>
      <c r="D308" s="27" t="str">
        <f t="shared" ca="1" si="8"/>
        <v/>
      </c>
      <c r="E308" s="27" t="str">
        <f t="shared" ca="1" si="9"/>
        <v/>
      </c>
    </row>
    <row r="309" spans="1:5" x14ac:dyDescent="0.2">
      <c r="A309" s="27" t="str">
        <f ca="1">'384 Well qPCR Layout'!O6</f>
        <v/>
      </c>
      <c r="B309" s="62" t="str">
        <f ca="1">IF(A309="", "", 'Paste Sample Names Here'!$O$3)</f>
        <v/>
      </c>
      <c r="C309" s="27" t="str">
        <f ca="1">IF(A309="", "", OFFSET('Paste qPCR Data Here'!$F$23, 24*Sheet3!B48, 0))</f>
        <v/>
      </c>
      <c r="D309" s="27" t="str">
        <f t="shared" ca="1" si="8"/>
        <v/>
      </c>
      <c r="E309" s="27" t="str">
        <f t="shared" ca="1" si="9"/>
        <v/>
      </c>
    </row>
    <row r="310" spans="1:5" x14ac:dyDescent="0.2">
      <c r="A310" s="27" t="str">
        <f ca="1">'384 Well qPCR Layout'!O7</f>
        <v/>
      </c>
      <c r="B310" s="61" t="str">
        <f ca="1">IF(A310="", "",'Paste Sample Names Here'!$K$3)</f>
        <v/>
      </c>
      <c r="C310" s="27" t="str">
        <f ca="1">IF(A310="", "", OFFSET('Paste qPCR Data Here'!$F$23, 24*Sheet3!B49, 0))</f>
        <v/>
      </c>
      <c r="D310" s="27" t="str">
        <f t="shared" ca="1" si="8"/>
        <v/>
      </c>
      <c r="E310" s="27" t="str">
        <f t="shared" ca="1" si="9"/>
        <v/>
      </c>
    </row>
    <row r="311" spans="1:5" x14ac:dyDescent="0.2">
      <c r="A311" s="27" t="str">
        <f ca="1">'384 Well qPCR Layout'!O8</f>
        <v/>
      </c>
      <c r="B311" s="62" t="str">
        <f ca="1">IF(A311="", "", 'Paste Sample Names Here'!$O$3)</f>
        <v/>
      </c>
      <c r="C311" s="27" t="str">
        <f ca="1">IF(A311="", "", OFFSET('Paste qPCR Data Here'!$F$23, 24*Sheet3!B50, 0))</f>
        <v/>
      </c>
      <c r="D311" s="27" t="str">
        <f t="shared" ca="1" si="8"/>
        <v/>
      </c>
      <c r="E311" s="27" t="str">
        <f t="shared" ca="1" si="9"/>
        <v/>
      </c>
    </row>
    <row r="312" spans="1:5" x14ac:dyDescent="0.2">
      <c r="A312" s="27" t="str">
        <f ca="1">'384 Well qPCR Layout'!O9</f>
        <v/>
      </c>
      <c r="B312" s="61" t="str">
        <f ca="1">IF(A312="", "",'Paste Sample Names Here'!$K$3)</f>
        <v/>
      </c>
      <c r="C312" s="27" t="str">
        <f ca="1">IF(A312="", "", OFFSET('Paste qPCR Data Here'!$F$23, 24*Sheet3!B51, 0))</f>
        <v/>
      </c>
      <c r="D312" s="27" t="str">
        <f t="shared" ca="1" si="8"/>
        <v/>
      </c>
      <c r="E312" s="27" t="str">
        <f t="shared" ca="1" si="9"/>
        <v/>
      </c>
    </row>
    <row r="313" spans="1:5" x14ac:dyDescent="0.2">
      <c r="A313" s="27" t="str">
        <f ca="1">'384 Well qPCR Layout'!O10</f>
        <v/>
      </c>
      <c r="B313" s="62" t="str">
        <f ca="1">IF(A313="", "", 'Paste Sample Names Here'!$O$3)</f>
        <v/>
      </c>
      <c r="C313" s="27" t="str">
        <f ca="1">IF(A313="", "", OFFSET('Paste qPCR Data Here'!$F$23, 24*Sheet3!B52, 0))</f>
        <v/>
      </c>
      <c r="D313" s="27" t="str">
        <f t="shared" ca="1" si="8"/>
        <v/>
      </c>
      <c r="E313" s="27" t="str">
        <f t="shared" ca="1" si="9"/>
        <v/>
      </c>
    </row>
    <row r="314" spans="1:5" x14ac:dyDescent="0.2">
      <c r="A314" s="27" t="str">
        <f ca="1">'384 Well qPCR Layout'!O11</f>
        <v/>
      </c>
      <c r="B314" s="61" t="str">
        <f ca="1">IF(A314="", "",'Paste Sample Names Here'!$K$3)</f>
        <v/>
      </c>
      <c r="C314" s="27" t="str">
        <f ca="1">IF(A314="", "", OFFSET('Paste qPCR Data Here'!$F$23, 24*Sheet3!B53, 0))</f>
        <v/>
      </c>
      <c r="D314" s="27" t="str">
        <f t="shared" ca="1" si="8"/>
        <v/>
      </c>
      <c r="E314" s="27" t="str">
        <f t="shared" ca="1" si="9"/>
        <v/>
      </c>
    </row>
    <row r="315" spans="1:5" x14ac:dyDescent="0.2">
      <c r="A315" s="27" t="str">
        <f ca="1">'384 Well qPCR Layout'!O12</f>
        <v/>
      </c>
      <c r="B315" s="62" t="str">
        <f ca="1">IF(A315="", "", 'Paste Sample Names Here'!$O$3)</f>
        <v/>
      </c>
      <c r="C315" s="27" t="str">
        <f ca="1">IF(A315="", "", OFFSET('Paste qPCR Data Here'!$F$23, 24*Sheet3!B54, 0))</f>
        <v/>
      </c>
      <c r="D315" s="27" t="str">
        <f t="shared" ca="1" si="8"/>
        <v/>
      </c>
      <c r="E315" s="27" t="str">
        <f t="shared" ca="1" si="9"/>
        <v/>
      </c>
    </row>
    <row r="316" spans="1:5" x14ac:dyDescent="0.2">
      <c r="A316" s="27" t="str">
        <f ca="1">'384 Well qPCR Layout'!O13</f>
        <v/>
      </c>
      <c r="B316" s="61" t="str">
        <f ca="1">IF(A316="", "",'Paste Sample Names Here'!$K$3)</f>
        <v/>
      </c>
      <c r="C316" s="27" t="str">
        <f ca="1">IF(A316="", "", OFFSET('Paste qPCR Data Here'!$F$23, 24*Sheet3!B55, 0))</f>
        <v/>
      </c>
      <c r="D316" s="27" t="str">
        <f t="shared" ca="1" si="8"/>
        <v/>
      </c>
      <c r="E316" s="27" t="str">
        <f t="shared" ca="1" si="9"/>
        <v/>
      </c>
    </row>
    <row r="317" spans="1:5" x14ac:dyDescent="0.2">
      <c r="A317" s="27" t="str">
        <f ca="1">'384 Well qPCR Layout'!O14</f>
        <v/>
      </c>
      <c r="B317" s="62" t="str">
        <f ca="1">IF(A317="", "", 'Paste Sample Names Here'!$O$3)</f>
        <v/>
      </c>
      <c r="C317" s="27" t="str">
        <f ca="1">IF(A317="", "", OFFSET('Paste qPCR Data Here'!$F$23, 24*Sheet3!B56, 0))</f>
        <v/>
      </c>
      <c r="D317" s="27" t="str">
        <f t="shared" ca="1" si="8"/>
        <v/>
      </c>
      <c r="E317" s="27" t="str">
        <f t="shared" ca="1" si="9"/>
        <v/>
      </c>
    </row>
    <row r="318" spans="1:5" x14ac:dyDescent="0.2">
      <c r="A318" s="27" t="str">
        <f ca="1">'384 Well qPCR Layout'!O15</f>
        <v/>
      </c>
      <c r="B318" s="61" t="str">
        <f ca="1">IF(A318="", "",'Paste Sample Names Here'!$K$3)</f>
        <v/>
      </c>
      <c r="C318" s="27" t="str">
        <f ca="1">IF(A318="", "", OFFSET('Paste qPCR Data Here'!$F$23, 24*Sheet3!B57, 0))</f>
        <v/>
      </c>
      <c r="D318" s="27" t="str">
        <f t="shared" ca="1" si="8"/>
        <v/>
      </c>
      <c r="E318" s="27" t="str">
        <f t="shared" ca="1" si="9"/>
        <v/>
      </c>
    </row>
    <row r="319" spans="1:5" x14ac:dyDescent="0.2">
      <c r="A319" s="27" t="str">
        <f ca="1">'384 Well qPCR Layout'!O16</f>
        <v/>
      </c>
      <c r="B319" s="62" t="str">
        <f ca="1">IF(A319="", "", 'Paste Sample Names Here'!$O$3)</f>
        <v/>
      </c>
      <c r="C319" s="27" t="str">
        <f ca="1">IF(A319="", "", OFFSET('Paste qPCR Data Here'!$F$23, 24*Sheet3!B58, 0))</f>
        <v/>
      </c>
      <c r="D319" s="27" t="str">
        <f t="shared" ca="1" si="8"/>
        <v/>
      </c>
      <c r="E319" s="27" t="str">
        <f t="shared" ca="1" si="9"/>
        <v/>
      </c>
    </row>
    <row r="320" spans="1:5" x14ac:dyDescent="0.2">
      <c r="A320" s="27" t="str">
        <f ca="1">'384 Well qPCR Layout'!O17</f>
        <v/>
      </c>
      <c r="B320" s="61" t="str">
        <f ca="1">IF(A320="", "",'Paste Sample Names Here'!$K$3)</f>
        <v/>
      </c>
      <c r="C320" s="27" t="str">
        <f ca="1">IF(A320="", "", OFFSET('Paste qPCR Data Here'!$F$23, 24*Sheet3!B59, 0))</f>
        <v/>
      </c>
      <c r="D320" s="27" t="str">
        <f t="shared" ca="1" si="8"/>
        <v/>
      </c>
      <c r="E320" s="27" t="str">
        <f t="shared" ca="1" si="9"/>
        <v/>
      </c>
    </row>
    <row r="321" spans="1:5" x14ac:dyDescent="0.2">
      <c r="A321" s="27" t="str">
        <f ca="1">'384 Well qPCR Layout'!O18</f>
        <v/>
      </c>
      <c r="B321" s="62" t="str">
        <f ca="1">IF(A321="", "", 'Paste Sample Names Here'!$O$3)</f>
        <v/>
      </c>
      <c r="C321" s="27" t="str">
        <f ca="1">IF(A321="", "", OFFSET('Paste qPCR Data Here'!$F$23, 24*Sheet3!B60, 0))</f>
        <v/>
      </c>
      <c r="D321" s="27" t="str">
        <f t="shared" ca="1" si="8"/>
        <v/>
      </c>
      <c r="E321" s="27" t="str">
        <f t="shared" ca="1" si="9"/>
        <v/>
      </c>
    </row>
    <row r="322" spans="1:5" x14ac:dyDescent="0.2">
      <c r="A322" s="27" t="str">
        <f ca="1">'384 Well qPCR Layout'!Q3</f>
        <v/>
      </c>
      <c r="B322" s="61" t="str">
        <f ca="1">IF(A322="", "",'Paste Sample Names Here'!$K$3)</f>
        <v/>
      </c>
      <c r="C322" s="27" t="str">
        <f ca="1">IF(A322="", "", OFFSET('Paste qPCR Data Here'!$F$25, 24*Sheet3!B45, 0))</f>
        <v/>
      </c>
      <c r="D322" s="27" t="str">
        <f t="shared" ca="1" si="8"/>
        <v/>
      </c>
      <c r="E322" s="27" t="str">
        <f t="shared" ca="1" si="9"/>
        <v/>
      </c>
    </row>
    <row r="323" spans="1:5" x14ac:dyDescent="0.2">
      <c r="A323" s="27" t="str">
        <f ca="1">'384 Well qPCR Layout'!Q4</f>
        <v/>
      </c>
      <c r="B323" s="62" t="str">
        <f ca="1">IF(A323="", "", 'Paste Sample Names Here'!$O$3)</f>
        <v/>
      </c>
      <c r="C323" s="27" t="str">
        <f ca="1">IF(A323="", "", OFFSET('Paste qPCR Data Here'!$F$25, 24*Sheet3!B46, 0))</f>
        <v/>
      </c>
      <c r="D323" s="27" t="str">
        <f t="shared" ca="1" si="8"/>
        <v/>
      </c>
      <c r="E323" s="27" t="str">
        <f t="shared" ca="1" si="9"/>
        <v/>
      </c>
    </row>
    <row r="324" spans="1:5" x14ac:dyDescent="0.2">
      <c r="A324" s="27" t="str">
        <f ca="1">'384 Well qPCR Layout'!Q5</f>
        <v/>
      </c>
      <c r="B324" s="61" t="str">
        <f ca="1">IF(A324="", "",'Paste Sample Names Here'!$K$3)</f>
        <v/>
      </c>
      <c r="C324" s="27" t="str">
        <f ca="1">IF(A324="", "", OFFSET('Paste qPCR Data Here'!$F$25, 24*Sheet3!B47, 0))</f>
        <v/>
      </c>
      <c r="D324" s="27" t="str">
        <f t="shared" ca="1" si="8"/>
        <v/>
      </c>
      <c r="E324" s="27" t="str">
        <f t="shared" ca="1" si="9"/>
        <v/>
      </c>
    </row>
    <row r="325" spans="1:5" x14ac:dyDescent="0.2">
      <c r="A325" s="27" t="str">
        <f ca="1">'384 Well qPCR Layout'!Q6</f>
        <v/>
      </c>
      <c r="B325" s="62" t="str">
        <f ca="1">IF(A325="", "", 'Paste Sample Names Here'!$O$3)</f>
        <v/>
      </c>
      <c r="C325" s="27" t="str">
        <f ca="1">IF(A325="", "", OFFSET('Paste qPCR Data Here'!$F$25, 24*Sheet3!B48, 0))</f>
        <v/>
      </c>
      <c r="D325" s="27" t="str">
        <f t="shared" ca="1" si="8"/>
        <v/>
      </c>
      <c r="E325" s="27" t="str">
        <f t="shared" ca="1" si="9"/>
        <v/>
      </c>
    </row>
    <row r="326" spans="1:5" x14ac:dyDescent="0.2">
      <c r="A326" s="27" t="str">
        <f ca="1">'384 Well qPCR Layout'!Q7</f>
        <v/>
      </c>
      <c r="B326" s="61" t="str">
        <f ca="1">IF(A326="", "",'Paste Sample Names Here'!$K$3)</f>
        <v/>
      </c>
      <c r="C326" s="27" t="str">
        <f ca="1">IF(A326="", "", OFFSET('Paste qPCR Data Here'!$F$25, 24*Sheet3!B49, 0))</f>
        <v/>
      </c>
      <c r="D326" s="27" t="str">
        <f t="shared" ca="1" si="8"/>
        <v/>
      </c>
      <c r="E326" s="27" t="str">
        <f t="shared" ca="1" si="9"/>
        <v/>
      </c>
    </row>
    <row r="327" spans="1:5" x14ac:dyDescent="0.2">
      <c r="A327" s="27" t="str">
        <f ca="1">'384 Well qPCR Layout'!Q8</f>
        <v/>
      </c>
      <c r="B327" s="62" t="str">
        <f ca="1">IF(A327="", "", 'Paste Sample Names Here'!$O$3)</f>
        <v/>
      </c>
      <c r="C327" s="27" t="str">
        <f ca="1">IF(A327="", "", OFFSET('Paste qPCR Data Here'!$F$25, 24*Sheet3!B50, 0))</f>
        <v/>
      </c>
      <c r="D327" s="27" t="str">
        <f t="shared" ca="1" si="8"/>
        <v/>
      </c>
      <c r="E327" s="27" t="str">
        <f t="shared" ca="1" si="9"/>
        <v/>
      </c>
    </row>
    <row r="328" spans="1:5" x14ac:dyDescent="0.2">
      <c r="A328" s="27" t="str">
        <f ca="1">'384 Well qPCR Layout'!Q9</f>
        <v/>
      </c>
      <c r="B328" s="61" t="str">
        <f ca="1">IF(A328="", "",'Paste Sample Names Here'!$K$3)</f>
        <v/>
      </c>
      <c r="C328" s="27" t="str">
        <f ca="1">IF(A328="", "", OFFSET('Paste qPCR Data Here'!$F$25, 24*Sheet3!B51, 0))</f>
        <v/>
      </c>
      <c r="D328" s="27" t="str">
        <f t="shared" ca="1" si="8"/>
        <v/>
      </c>
      <c r="E328" s="27" t="str">
        <f t="shared" ca="1" si="9"/>
        <v/>
      </c>
    </row>
    <row r="329" spans="1:5" x14ac:dyDescent="0.2">
      <c r="A329" s="27" t="str">
        <f ca="1">'384 Well qPCR Layout'!Q10</f>
        <v/>
      </c>
      <c r="B329" s="62" t="str">
        <f ca="1">IF(A329="", "", 'Paste Sample Names Here'!$O$3)</f>
        <v/>
      </c>
      <c r="C329" s="27" t="str">
        <f ca="1">IF(A329="", "", OFFSET('Paste qPCR Data Here'!$F$25, 24*Sheet3!B52, 0))</f>
        <v/>
      </c>
      <c r="D329" s="27" t="str">
        <f t="shared" ca="1" si="8"/>
        <v/>
      </c>
      <c r="E329" s="27" t="str">
        <f t="shared" ca="1" si="9"/>
        <v/>
      </c>
    </row>
    <row r="330" spans="1:5" x14ac:dyDescent="0.2">
      <c r="A330" s="27" t="str">
        <f ca="1">'384 Well qPCR Layout'!Q11</f>
        <v/>
      </c>
      <c r="B330" s="61" t="str">
        <f ca="1">IF(A330="", "",'Paste Sample Names Here'!$K$3)</f>
        <v/>
      </c>
      <c r="C330" s="27" t="str">
        <f ca="1">IF(A330="", "", OFFSET('Paste qPCR Data Here'!$F$25, 24*Sheet3!B53, 0))</f>
        <v/>
      </c>
      <c r="D330" s="27" t="str">
        <f t="shared" ca="1" si="8"/>
        <v/>
      </c>
      <c r="E330" s="27" t="str">
        <f t="shared" ca="1" si="9"/>
        <v/>
      </c>
    </row>
    <row r="331" spans="1:5" x14ac:dyDescent="0.2">
      <c r="A331" s="27" t="str">
        <f ca="1">'384 Well qPCR Layout'!Q12</f>
        <v/>
      </c>
      <c r="B331" s="62" t="str">
        <f ca="1">IF(A331="", "", 'Paste Sample Names Here'!$O$3)</f>
        <v/>
      </c>
      <c r="C331" s="27" t="str">
        <f ca="1">IF(A331="", "", OFFSET('Paste qPCR Data Here'!$F$25, 24*Sheet3!B54, 0))</f>
        <v/>
      </c>
      <c r="D331" s="27" t="str">
        <f t="shared" ca="1" si="8"/>
        <v/>
      </c>
      <c r="E331" s="27" t="str">
        <f t="shared" ca="1" si="9"/>
        <v/>
      </c>
    </row>
    <row r="332" spans="1:5" x14ac:dyDescent="0.2">
      <c r="A332" s="27" t="str">
        <f ca="1">'384 Well qPCR Layout'!Q13</f>
        <v/>
      </c>
      <c r="B332" s="61" t="str">
        <f ca="1">IF(A332="", "",'Paste Sample Names Here'!$K$3)</f>
        <v/>
      </c>
      <c r="C332" s="27" t="str">
        <f ca="1">IF(A332="", "", OFFSET('Paste qPCR Data Here'!$F$25, 24*Sheet3!B55, 0))</f>
        <v/>
      </c>
      <c r="D332" s="27" t="str">
        <f t="shared" ca="1" si="8"/>
        <v/>
      </c>
      <c r="E332" s="27" t="str">
        <f t="shared" ca="1" si="9"/>
        <v/>
      </c>
    </row>
    <row r="333" spans="1:5" x14ac:dyDescent="0.2">
      <c r="A333" s="27" t="str">
        <f ca="1">'384 Well qPCR Layout'!Q14</f>
        <v/>
      </c>
      <c r="B333" s="62" t="str">
        <f ca="1">IF(A333="", "", 'Paste Sample Names Here'!$O$3)</f>
        <v/>
      </c>
      <c r="C333" s="27" t="str">
        <f ca="1">IF(A333="", "", OFFSET('Paste qPCR Data Here'!$F$25, 24*Sheet3!B56, 0))</f>
        <v/>
      </c>
      <c r="D333" s="27" t="str">
        <f t="shared" ca="1" si="8"/>
        <v/>
      </c>
      <c r="E333" s="27" t="str">
        <f t="shared" ca="1" si="9"/>
        <v/>
      </c>
    </row>
    <row r="334" spans="1:5" x14ac:dyDescent="0.2">
      <c r="A334" s="27" t="str">
        <f ca="1">'384 Well qPCR Layout'!Q15</f>
        <v/>
      </c>
      <c r="B334" s="61" t="str">
        <f ca="1">IF(A334="", "",'Paste Sample Names Here'!$K$3)</f>
        <v/>
      </c>
      <c r="C334" s="27" t="str">
        <f ca="1">IF(A334="", "", OFFSET('Paste qPCR Data Here'!$F$25, 24*Sheet3!B57, 0))</f>
        <v/>
      </c>
      <c r="D334" s="27" t="str">
        <f t="shared" ca="1" si="8"/>
        <v/>
      </c>
      <c r="E334" s="27" t="str">
        <f t="shared" ca="1" si="9"/>
        <v/>
      </c>
    </row>
    <row r="335" spans="1:5" x14ac:dyDescent="0.2">
      <c r="A335" s="27" t="str">
        <f ca="1">'384 Well qPCR Layout'!Q16</f>
        <v/>
      </c>
      <c r="B335" s="62" t="str">
        <f ca="1">IF(A335="", "", 'Paste Sample Names Here'!$O$3)</f>
        <v/>
      </c>
      <c r="C335" s="27" t="str">
        <f ca="1">IF(A335="", "", OFFSET('Paste qPCR Data Here'!$F$25, 24*Sheet3!B58, 0))</f>
        <v/>
      </c>
      <c r="D335" s="27" t="str">
        <f t="shared" ca="1" si="8"/>
        <v/>
      </c>
      <c r="E335" s="27" t="str">
        <f t="shared" ca="1" si="9"/>
        <v/>
      </c>
    </row>
    <row r="336" spans="1:5" x14ac:dyDescent="0.2">
      <c r="A336" s="27" t="str">
        <f ca="1">'384 Well qPCR Layout'!Q17</f>
        <v/>
      </c>
      <c r="B336" s="61" t="str">
        <f ca="1">IF(A336="", "",'Paste Sample Names Here'!$K$3)</f>
        <v/>
      </c>
      <c r="C336" s="27" t="str">
        <f ca="1">IF(A336="", "", OFFSET('Paste qPCR Data Here'!$F$25, 24*Sheet3!B59, 0))</f>
        <v/>
      </c>
      <c r="D336" s="27" t="str">
        <f t="shared" ca="1" si="8"/>
        <v/>
      </c>
      <c r="E336" s="27" t="str">
        <f t="shared" ca="1" si="9"/>
        <v/>
      </c>
    </row>
    <row r="337" spans="1:5" x14ac:dyDescent="0.2">
      <c r="A337" s="27" t="str">
        <f ca="1">'384 Well qPCR Layout'!Q18</f>
        <v/>
      </c>
      <c r="B337" s="62" t="str">
        <f ca="1">IF(A337="", "", 'Paste Sample Names Here'!$O$3)</f>
        <v/>
      </c>
      <c r="C337" s="27" t="str">
        <f ca="1">IF(A337="", "", OFFSET('Paste qPCR Data Here'!$F$25, 24*Sheet3!B60, 0))</f>
        <v/>
      </c>
      <c r="D337" s="27" t="str">
        <f t="shared" ca="1" si="8"/>
        <v/>
      </c>
      <c r="E337" s="27" t="str">
        <f t="shared" ca="1" si="9"/>
        <v/>
      </c>
    </row>
    <row r="338" spans="1:5" x14ac:dyDescent="0.2">
      <c r="A338" s="27" t="str">
        <f ca="1">'384 Well qPCR Layout'!S3</f>
        <v/>
      </c>
      <c r="B338" s="61" t="str">
        <f ca="1">IF(A338="", "",'Paste Sample Names Here'!$K$3)</f>
        <v/>
      </c>
      <c r="C338" s="27" t="str">
        <f ca="1">IF(A338="", "", OFFSET('Paste qPCR Data Here'!$F$27, 24*Sheet3!B45, 0))</f>
        <v/>
      </c>
      <c r="D338" s="27" t="str">
        <f t="shared" ca="1" si="8"/>
        <v/>
      </c>
      <c r="E338" s="27" t="str">
        <f t="shared" ca="1" si="9"/>
        <v/>
      </c>
    </row>
    <row r="339" spans="1:5" x14ac:dyDescent="0.2">
      <c r="A339" s="27" t="str">
        <f ca="1">'384 Well qPCR Layout'!S4</f>
        <v/>
      </c>
      <c r="B339" s="62" t="str">
        <f ca="1">IF(A339="", "", 'Paste Sample Names Here'!$O$3)</f>
        <v/>
      </c>
      <c r="C339" s="27" t="str">
        <f ca="1">IF(A339="", "", OFFSET('Paste qPCR Data Here'!$F$27, 24*Sheet3!B46, 0))</f>
        <v/>
      </c>
      <c r="D339" s="27" t="str">
        <f t="shared" ref="D339:D401" ca="1" si="10">IF(C339="", "", 2^(SLOPE(LOG($B$4:$B$7,2),$C$4:$C$7)*C339+INTERCEPT(LOG($B$4:$B$7,2),$C$4:$C$7)))</f>
        <v/>
      </c>
      <c r="E339" s="27" t="str">
        <f t="shared" ref="E339:E401" ca="1" si="11">IF(C339="", "", D339*B339)</f>
        <v/>
      </c>
    </row>
    <row r="340" spans="1:5" x14ac:dyDescent="0.2">
      <c r="A340" s="27" t="str">
        <f ca="1">'384 Well qPCR Layout'!S5</f>
        <v/>
      </c>
      <c r="B340" s="61" t="str">
        <f ca="1">IF(A340="", "",'Paste Sample Names Here'!$K$3)</f>
        <v/>
      </c>
      <c r="C340" s="27" t="str">
        <f ca="1">IF(A340="", "", OFFSET('Paste qPCR Data Here'!$F$27, 24*Sheet3!B47, 0))</f>
        <v/>
      </c>
      <c r="D340" s="27" t="str">
        <f t="shared" ca="1" si="10"/>
        <v/>
      </c>
      <c r="E340" s="27" t="str">
        <f t="shared" ca="1" si="11"/>
        <v/>
      </c>
    </row>
    <row r="341" spans="1:5" x14ac:dyDescent="0.2">
      <c r="A341" s="27" t="str">
        <f ca="1">'384 Well qPCR Layout'!S6</f>
        <v/>
      </c>
      <c r="B341" s="62" t="str">
        <f ca="1">IF(A341="", "", 'Paste Sample Names Here'!$O$3)</f>
        <v/>
      </c>
      <c r="C341" s="27" t="str">
        <f ca="1">IF(A341="", "", OFFSET('Paste qPCR Data Here'!$F$27, 24*Sheet3!B48, 0))</f>
        <v/>
      </c>
      <c r="D341" s="27" t="str">
        <f t="shared" ca="1" si="10"/>
        <v/>
      </c>
      <c r="E341" s="27" t="str">
        <f t="shared" ca="1" si="11"/>
        <v/>
      </c>
    </row>
    <row r="342" spans="1:5" x14ac:dyDescent="0.2">
      <c r="A342" s="27" t="str">
        <f ca="1">'384 Well qPCR Layout'!S7</f>
        <v/>
      </c>
      <c r="B342" s="61" t="str">
        <f ca="1">IF(A342="", "",'Paste Sample Names Here'!$K$3)</f>
        <v/>
      </c>
      <c r="C342" s="27" t="str">
        <f ca="1">IF(A342="", "", OFFSET('Paste qPCR Data Here'!$F$27, 24*Sheet3!B49, 0))</f>
        <v/>
      </c>
      <c r="D342" s="27" t="str">
        <f t="shared" ca="1" si="10"/>
        <v/>
      </c>
      <c r="E342" s="27" t="str">
        <f t="shared" ca="1" si="11"/>
        <v/>
      </c>
    </row>
    <row r="343" spans="1:5" x14ac:dyDescent="0.2">
      <c r="A343" s="27" t="str">
        <f ca="1">'384 Well qPCR Layout'!S8</f>
        <v/>
      </c>
      <c r="B343" s="62" t="str">
        <f ca="1">IF(A343="", "", 'Paste Sample Names Here'!$O$3)</f>
        <v/>
      </c>
      <c r="C343" s="27" t="str">
        <f ca="1">IF(A343="", "", OFFSET('Paste qPCR Data Here'!$F$27, 24*Sheet3!B50, 0))</f>
        <v/>
      </c>
      <c r="D343" s="27" t="str">
        <f t="shared" ca="1" si="10"/>
        <v/>
      </c>
      <c r="E343" s="27" t="str">
        <f t="shared" ca="1" si="11"/>
        <v/>
      </c>
    </row>
    <row r="344" spans="1:5" x14ac:dyDescent="0.2">
      <c r="A344" s="27" t="str">
        <f ca="1">'384 Well qPCR Layout'!S9</f>
        <v/>
      </c>
      <c r="B344" s="61" t="str">
        <f ca="1">IF(A344="", "",'Paste Sample Names Here'!$K$3)</f>
        <v/>
      </c>
      <c r="C344" s="27" t="str">
        <f ca="1">IF(A344="", "", OFFSET('Paste qPCR Data Here'!$F$27, 24*Sheet3!B51, 0))</f>
        <v/>
      </c>
      <c r="D344" s="27" t="str">
        <f t="shared" ca="1" si="10"/>
        <v/>
      </c>
      <c r="E344" s="27" t="str">
        <f t="shared" ca="1" si="11"/>
        <v/>
      </c>
    </row>
    <row r="345" spans="1:5" x14ac:dyDescent="0.2">
      <c r="A345" s="27" t="str">
        <f ca="1">'384 Well qPCR Layout'!S10</f>
        <v/>
      </c>
      <c r="B345" s="62" t="str">
        <f ca="1">IF(A345="", "", 'Paste Sample Names Here'!$O$3)</f>
        <v/>
      </c>
      <c r="C345" s="27" t="str">
        <f ca="1">IF(A345="", "", OFFSET('Paste qPCR Data Here'!$F$27, 24*Sheet3!B52, 0))</f>
        <v/>
      </c>
      <c r="D345" s="27" t="str">
        <f t="shared" ca="1" si="10"/>
        <v/>
      </c>
      <c r="E345" s="27" t="str">
        <f t="shared" ca="1" si="11"/>
        <v/>
      </c>
    </row>
    <row r="346" spans="1:5" x14ac:dyDescent="0.2">
      <c r="A346" s="27" t="str">
        <f ca="1">'384 Well qPCR Layout'!S11</f>
        <v/>
      </c>
      <c r="B346" s="61" t="str">
        <f ca="1">IF(A346="", "",'Paste Sample Names Here'!$K$3)</f>
        <v/>
      </c>
      <c r="C346" s="27" t="str">
        <f ca="1">IF(A346="", "", OFFSET('Paste qPCR Data Here'!$F$27, 24*Sheet3!B53, 0))</f>
        <v/>
      </c>
      <c r="D346" s="27" t="str">
        <f t="shared" ca="1" si="10"/>
        <v/>
      </c>
      <c r="E346" s="27" t="str">
        <f t="shared" ca="1" si="11"/>
        <v/>
      </c>
    </row>
    <row r="347" spans="1:5" x14ac:dyDescent="0.2">
      <c r="A347" s="27" t="str">
        <f ca="1">'384 Well qPCR Layout'!S12</f>
        <v/>
      </c>
      <c r="B347" s="62" t="str">
        <f ca="1">IF(A347="", "", 'Paste Sample Names Here'!$O$3)</f>
        <v/>
      </c>
      <c r="C347" s="27" t="str">
        <f ca="1">IF(A347="", "", OFFSET('Paste qPCR Data Here'!$F$27, 24*Sheet3!B54, 0))</f>
        <v/>
      </c>
      <c r="D347" s="27" t="str">
        <f t="shared" ca="1" si="10"/>
        <v/>
      </c>
      <c r="E347" s="27" t="str">
        <f t="shared" ca="1" si="11"/>
        <v/>
      </c>
    </row>
    <row r="348" spans="1:5" x14ac:dyDescent="0.2">
      <c r="A348" s="27" t="str">
        <f ca="1">'384 Well qPCR Layout'!S13</f>
        <v/>
      </c>
      <c r="B348" s="61" t="str">
        <f ca="1">IF(A348="", "",'Paste Sample Names Here'!$K$3)</f>
        <v/>
      </c>
      <c r="C348" s="27" t="str">
        <f ca="1">IF(A348="", "", OFFSET('Paste qPCR Data Here'!$F$27, 24*Sheet3!B55, 0))</f>
        <v/>
      </c>
      <c r="D348" s="27" t="str">
        <f t="shared" ca="1" si="10"/>
        <v/>
      </c>
      <c r="E348" s="27" t="str">
        <f t="shared" ca="1" si="11"/>
        <v/>
      </c>
    </row>
    <row r="349" spans="1:5" x14ac:dyDescent="0.2">
      <c r="A349" s="27" t="str">
        <f ca="1">'384 Well qPCR Layout'!S14</f>
        <v/>
      </c>
      <c r="B349" s="62" t="str">
        <f ca="1">IF(A349="", "", 'Paste Sample Names Here'!$O$3)</f>
        <v/>
      </c>
      <c r="C349" s="27" t="str">
        <f ca="1">IF(A349="", "", OFFSET('Paste qPCR Data Here'!$F$27, 24*Sheet3!B56, 0))</f>
        <v/>
      </c>
      <c r="D349" s="27" t="str">
        <f t="shared" ca="1" si="10"/>
        <v/>
      </c>
      <c r="E349" s="27" t="str">
        <f t="shared" ca="1" si="11"/>
        <v/>
      </c>
    </row>
    <row r="350" spans="1:5" x14ac:dyDescent="0.2">
      <c r="A350" s="27" t="str">
        <f ca="1">'384 Well qPCR Layout'!S15</f>
        <v/>
      </c>
      <c r="B350" s="61" t="str">
        <f ca="1">IF(A350="", "",'Paste Sample Names Here'!$K$3)</f>
        <v/>
      </c>
      <c r="C350" s="27" t="str">
        <f ca="1">IF(A350="", "", OFFSET('Paste qPCR Data Here'!$F$27, 24*Sheet3!B57, 0))</f>
        <v/>
      </c>
      <c r="D350" s="27" t="str">
        <f t="shared" ca="1" si="10"/>
        <v/>
      </c>
      <c r="E350" s="27" t="str">
        <f t="shared" ca="1" si="11"/>
        <v/>
      </c>
    </row>
    <row r="351" spans="1:5" x14ac:dyDescent="0.2">
      <c r="A351" s="27" t="str">
        <f ca="1">'384 Well qPCR Layout'!S16</f>
        <v/>
      </c>
      <c r="B351" s="62" t="str">
        <f ca="1">IF(A351="", "", 'Paste Sample Names Here'!$O$3)</f>
        <v/>
      </c>
      <c r="C351" s="27" t="str">
        <f ca="1">IF(A351="", "", OFFSET('Paste qPCR Data Here'!$F$27, 24*Sheet3!B58, 0))</f>
        <v/>
      </c>
      <c r="D351" s="27" t="str">
        <f t="shared" ca="1" si="10"/>
        <v/>
      </c>
      <c r="E351" s="27" t="str">
        <f t="shared" ca="1" si="11"/>
        <v/>
      </c>
    </row>
    <row r="352" spans="1:5" x14ac:dyDescent="0.2">
      <c r="A352" s="27" t="str">
        <f ca="1">'384 Well qPCR Layout'!S17</f>
        <v/>
      </c>
      <c r="B352" s="61" t="str">
        <f ca="1">IF(A352="", "",'Paste Sample Names Here'!$K$3)</f>
        <v/>
      </c>
      <c r="C352" s="27" t="str">
        <f ca="1">IF(A352="", "", OFFSET('Paste qPCR Data Here'!$F$27, 24*Sheet3!B59, 0))</f>
        <v/>
      </c>
      <c r="D352" s="27" t="str">
        <f t="shared" ca="1" si="10"/>
        <v/>
      </c>
      <c r="E352" s="27" t="str">
        <f t="shared" ca="1" si="11"/>
        <v/>
      </c>
    </row>
    <row r="353" spans="1:5" x14ac:dyDescent="0.2">
      <c r="A353" s="27" t="str">
        <f ca="1">'384 Well qPCR Layout'!S18</f>
        <v/>
      </c>
      <c r="B353" s="62" t="str">
        <f ca="1">IF(A353="", "", 'Paste Sample Names Here'!$O$3)</f>
        <v/>
      </c>
      <c r="C353" s="27" t="str">
        <f ca="1">IF(A353="", "", OFFSET('Paste qPCR Data Here'!$F$27, 24*Sheet3!B60, 0))</f>
        <v/>
      </c>
      <c r="D353" s="27" t="str">
        <f t="shared" ca="1" si="10"/>
        <v/>
      </c>
      <c r="E353" s="27" t="str">
        <f t="shared" ca="1" si="11"/>
        <v/>
      </c>
    </row>
    <row r="354" spans="1:5" x14ac:dyDescent="0.2">
      <c r="A354" s="27" t="str">
        <f ca="1">'384 Well qPCR Layout'!U3</f>
        <v/>
      </c>
      <c r="B354" s="61" t="str">
        <f ca="1">IF(A354="", "",'Paste Sample Names Here'!$K$3)</f>
        <v/>
      </c>
      <c r="C354" s="27" t="str">
        <f ca="1">IF(A354="", "", OFFSET('Paste qPCR Data Here'!$F$29, 24*Sheet3!B45, 0))</f>
        <v/>
      </c>
      <c r="D354" s="27" t="str">
        <f t="shared" ca="1" si="10"/>
        <v/>
      </c>
      <c r="E354" s="27" t="str">
        <f t="shared" ca="1" si="11"/>
        <v/>
      </c>
    </row>
    <row r="355" spans="1:5" x14ac:dyDescent="0.2">
      <c r="A355" s="27" t="str">
        <f ca="1">'384 Well qPCR Layout'!U4</f>
        <v/>
      </c>
      <c r="B355" s="62" t="str">
        <f ca="1">IF(A355="", "", 'Paste Sample Names Here'!$O$3)</f>
        <v/>
      </c>
      <c r="C355" s="27" t="str">
        <f ca="1">IF(A355="", "", OFFSET('Paste qPCR Data Here'!$F$29, 24*Sheet3!B46, 0))</f>
        <v/>
      </c>
      <c r="D355" s="27" t="str">
        <f t="shared" ca="1" si="10"/>
        <v/>
      </c>
      <c r="E355" s="27" t="str">
        <f t="shared" ca="1" si="11"/>
        <v/>
      </c>
    </row>
    <row r="356" spans="1:5" x14ac:dyDescent="0.2">
      <c r="A356" s="27" t="str">
        <f ca="1">'384 Well qPCR Layout'!U5</f>
        <v/>
      </c>
      <c r="B356" s="61" t="str">
        <f ca="1">IF(A356="", "",'Paste Sample Names Here'!$K$3)</f>
        <v/>
      </c>
      <c r="C356" s="27" t="str">
        <f ca="1">IF(A356="", "", OFFSET('Paste qPCR Data Here'!$F$29, 24*Sheet3!B47, 0))</f>
        <v/>
      </c>
      <c r="D356" s="27" t="str">
        <f t="shared" ca="1" si="10"/>
        <v/>
      </c>
      <c r="E356" s="27" t="str">
        <f t="shared" ca="1" si="11"/>
        <v/>
      </c>
    </row>
    <row r="357" spans="1:5" x14ac:dyDescent="0.2">
      <c r="A357" s="27" t="str">
        <f ca="1">'384 Well qPCR Layout'!U6</f>
        <v/>
      </c>
      <c r="B357" s="62" t="str">
        <f ca="1">IF(A357="", "", 'Paste Sample Names Here'!$O$3)</f>
        <v/>
      </c>
      <c r="C357" s="27" t="str">
        <f ca="1">IF(A357="", "", OFFSET('Paste qPCR Data Here'!$F$29, 24*Sheet3!B48, 0))</f>
        <v/>
      </c>
      <c r="D357" s="27" t="str">
        <f t="shared" ca="1" si="10"/>
        <v/>
      </c>
      <c r="E357" s="27" t="str">
        <f t="shared" ca="1" si="11"/>
        <v/>
      </c>
    </row>
    <row r="358" spans="1:5" x14ac:dyDescent="0.2">
      <c r="A358" s="27" t="str">
        <f ca="1">'384 Well qPCR Layout'!U7</f>
        <v/>
      </c>
      <c r="B358" s="61" t="str">
        <f ca="1">IF(A358="", "",'Paste Sample Names Here'!$K$3)</f>
        <v/>
      </c>
      <c r="C358" s="27" t="str">
        <f ca="1">IF(A358="", "", OFFSET('Paste qPCR Data Here'!$F$29, 24*Sheet3!B49, 0))</f>
        <v/>
      </c>
      <c r="D358" s="27" t="str">
        <f t="shared" ca="1" si="10"/>
        <v/>
      </c>
      <c r="E358" s="27" t="str">
        <f t="shared" ca="1" si="11"/>
        <v/>
      </c>
    </row>
    <row r="359" spans="1:5" x14ac:dyDescent="0.2">
      <c r="A359" s="27" t="str">
        <f ca="1">'384 Well qPCR Layout'!U8</f>
        <v/>
      </c>
      <c r="B359" s="62" t="str">
        <f ca="1">IF(A359="", "", 'Paste Sample Names Here'!$O$3)</f>
        <v/>
      </c>
      <c r="C359" s="27" t="str">
        <f ca="1">IF(A359="", "", OFFSET('Paste qPCR Data Here'!$F$29, 24*Sheet3!B50, 0))</f>
        <v/>
      </c>
      <c r="D359" s="27" t="str">
        <f t="shared" ca="1" si="10"/>
        <v/>
      </c>
      <c r="E359" s="27" t="str">
        <f t="shared" ca="1" si="11"/>
        <v/>
      </c>
    </row>
    <row r="360" spans="1:5" x14ac:dyDescent="0.2">
      <c r="A360" s="27" t="str">
        <f ca="1">'384 Well qPCR Layout'!U9</f>
        <v/>
      </c>
      <c r="B360" s="61" t="str">
        <f ca="1">IF(A360="", "",'Paste Sample Names Here'!$K$3)</f>
        <v/>
      </c>
      <c r="C360" s="27" t="str">
        <f ca="1">IF(A360="", "", OFFSET('Paste qPCR Data Here'!$F$29, 24*Sheet3!B51, 0))</f>
        <v/>
      </c>
      <c r="D360" s="27" t="str">
        <f t="shared" ca="1" si="10"/>
        <v/>
      </c>
      <c r="E360" s="27" t="str">
        <f t="shared" ca="1" si="11"/>
        <v/>
      </c>
    </row>
    <row r="361" spans="1:5" x14ac:dyDescent="0.2">
      <c r="A361" s="27" t="str">
        <f ca="1">'384 Well qPCR Layout'!U10</f>
        <v/>
      </c>
      <c r="B361" s="62" t="str">
        <f ca="1">IF(A361="", "", 'Paste Sample Names Here'!$O$3)</f>
        <v/>
      </c>
      <c r="C361" s="27" t="str">
        <f ca="1">IF(A361="", "", OFFSET('Paste qPCR Data Here'!$F$29, 24*Sheet3!B52, 0))</f>
        <v/>
      </c>
      <c r="D361" s="27" t="str">
        <f t="shared" ca="1" si="10"/>
        <v/>
      </c>
      <c r="E361" s="27" t="str">
        <f t="shared" ca="1" si="11"/>
        <v/>
      </c>
    </row>
    <row r="362" spans="1:5" x14ac:dyDescent="0.2">
      <c r="A362" s="27" t="str">
        <f ca="1">'384 Well qPCR Layout'!U11</f>
        <v/>
      </c>
      <c r="B362" s="61" t="str">
        <f ca="1">IF(A362="", "",'Paste Sample Names Here'!$K$3)</f>
        <v/>
      </c>
      <c r="C362" s="27" t="str">
        <f ca="1">IF(A362="", "", OFFSET('Paste qPCR Data Here'!$F$29, 24*Sheet3!B53, 0))</f>
        <v/>
      </c>
      <c r="D362" s="27" t="str">
        <f t="shared" ca="1" si="10"/>
        <v/>
      </c>
      <c r="E362" s="27" t="str">
        <f t="shared" ca="1" si="11"/>
        <v/>
      </c>
    </row>
    <row r="363" spans="1:5" x14ac:dyDescent="0.2">
      <c r="A363" s="27" t="str">
        <f ca="1">'384 Well qPCR Layout'!U12</f>
        <v/>
      </c>
      <c r="B363" s="62" t="str">
        <f ca="1">IF(A363="", "", 'Paste Sample Names Here'!$O$3)</f>
        <v/>
      </c>
      <c r="C363" s="27" t="str">
        <f ca="1">IF(A363="", "", OFFSET('Paste qPCR Data Here'!$F$29, 24*Sheet3!B54, 0))</f>
        <v/>
      </c>
      <c r="D363" s="27" t="str">
        <f t="shared" ca="1" si="10"/>
        <v/>
      </c>
      <c r="E363" s="27" t="str">
        <f t="shared" ca="1" si="11"/>
        <v/>
      </c>
    </row>
    <row r="364" spans="1:5" x14ac:dyDescent="0.2">
      <c r="A364" s="27" t="str">
        <f ca="1">'384 Well qPCR Layout'!U13</f>
        <v/>
      </c>
      <c r="B364" s="61" t="str">
        <f ca="1">IF(A364="", "",'Paste Sample Names Here'!$K$3)</f>
        <v/>
      </c>
      <c r="C364" s="27" t="str">
        <f ca="1">IF(A364="", "", OFFSET('Paste qPCR Data Here'!$F$29, 24*Sheet3!B55, 0))</f>
        <v/>
      </c>
      <c r="D364" s="27" t="str">
        <f t="shared" ca="1" si="10"/>
        <v/>
      </c>
      <c r="E364" s="27" t="str">
        <f t="shared" ca="1" si="11"/>
        <v/>
      </c>
    </row>
    <row r="365" spans="1:5" x14ac:dyDescent="0.2">
      <c r="A365" s="27" t="str">
        <f ca="1">'384 Well qPCR Layout'!U14</f>
        <v/>
      </c>
      <c r="B365" s="62" t="str">
        <f ca="1">IF(A365="", "", 'Paste Sample Names Here'!$O$3)</f>
        <v/>
      </c>
      <c r="C365" s="27" t="str">
        <f ca="1">IF(A365="", "", OFFSET('Paste qPCR Data Here'!$F$29, 24*Sheet3!B56, 0))</f>
        <v/>
      </c>
      <c r="D365" s="27" t="str">
        <f t="shared" ca="1" si="10"/>
        <v/>
      </c>
      <c r="E365" s="27" t="str">
        <f t="shared" ca="1" si="11"/>
        <v/>
      </c>
    </row>
    <row r="366" spans="1:5" x14ac:dyDescent="0.2">
      <c r="A366" s="27" t="str">
        <f ca="1">'384 Well qPCR Layout'!U15</f>
        <v/>
      </c>
      <c r="B366" s="61" t="str">
        <f ca="1">IF(A366="", "",'Paste Sample Names Here'!$K$3)</f>
        <v/>
      </c>
      <c r="C366" s="27" t="str">
        <f ca="1">IF(A366="", "", OFFSET('Paste qPCR Data Here'!$F$29, 24*Sheet3!B57, 0))</f>
        <v/>
      </c>
      <c r="D366" s="27" t="str">
        <f t="shared" ca="1" si="10"/>
        <v/>
      </c>
      <c r="E366" s="27" t="str">
        <f t="shared" ca="1" si="11"/>
        <v/>
      </c>
    </row>
    <row r="367" spans="1:5" x14ac:dyDescent="0.2">
      <c r="A367" s="27" t="str">
        <f ca="1">'384 Well qPCR Layout'!U16</f>
        <v/>
      </c>
      <c r="B367" s="62" t="str">
        <f ca="1">IF(A367="", "", 'Paste Sample Names Here'!$O$3)</f>
        <v/>
      </c>
      <c r="C367" s="27" t="str">
        <f ca="1">IF(A367="", "", OFFSET('Paste qPCR Data Here'!$F$29, 24*Sheet3!B58, 0))</f>
        <v/>
      </c>
      <c r="D367" s="27" t="str">
        <f t="shared" ca="1" si="10"/>
        <v/>
      </c>
      <c r="E367" s="27" t="str">
        <f t="shared" ca="1" si="11"/>
        <v/>
      </c>
    </row>
    <row r="368" spans="1:5" x14ac:dyDescent="0.2">
      <c r="A368" s="27" t="str">
        <f ca="1">'384 Well qPCR Layout'!U17</f>
        <v/>
      </c>
      <c r="B368" s="61" t="str">
        <f ca="1">IF(A368="", "",'Paste Sample Names Here'!$K$3)</f>
        <v/>
      </c>
      <c r="C368" s="27" t="str">
        <f ca="1">IF(A368="", "", OFFSET('Paste qPCR Data Here'!$F$29, 24*Sheet3!B59, 0))</f>
        <v/>
      </c>
      <c r="D368" s="27" t="str">
        <f t="shared" ca="1" si="10"/>
        <v/>
      </c>
      <c r="E368" s="27" t="str">
        <f t="shared" ca="1" si="11"/>
        <v/>
      </c>
    </row>
    <row r="369" spans="1:5" x14ac:dyDescent="0.2">
      <c r="A369" s="27" t="str">
        <f ca="1">'384 Well qPCR Layout'!U18</f>
        <v/>
      </c>
      <c r="B369" s="62" t="str">
        <f ca="1">IF(A369="", "", 'Paste Sample Names Here'!$O$3)</f>
        <v/>
      </c>
      <c r="C369" s="27" t="str">
        <f ca="1">IF(A369="", "", OFFSET('Paste qPCR Data Here'!$F$29, 24*Sheet3!B60, 0))</f>
        <v/>
      </c>
      <c r="D369" s="27" t="str">
        <f t="shared" ca="1" si="10"/>
        <v/>
      </c>
      <c r="E369" s="27" t="str">
        <f t="shared" ca="1" si="11"/>
        <v/>
      </c>
    </row>
    <row r="370" spans="1:5" x14ac:dyDescent="0.2">
      <c r="A370" s="27" t="str">
        <f ca="1">'384 Well qPCR Layout'!W3</f>
        <v/>
      </c>
      <c r="B370" s="61" t="str">
        <f ca="1">IF(A370="", "",'Paste Sample Names Here'!$K$3)</f>
        <v/>
      </c>
      <c r="C370" s="27" t="str">
        <f ca="1">IF(A370="", "", OFFSET('Paste qPCR Data Here'!$F$31, 24*Sheet3!B45, 0))</f>
        <v/>
      </c>
      <c r="D370" s="27" t="str">
        <f t="shared" ca="1" si="10"/>
        <v/>
      </c>
      <c r="E370" s="27" t="str">
        <f t="shared" ca="1" si="11"/>
        <v/>
      </c>
    </row>
    <row r="371" spans="1:5" x14ac:dyDescent="0.2">
      <c r="A371" s="27" t="str">
        <f ca="1">'384 Well qPCR Layout'!W4</f>
        <v/>
      </c>
      <c r="B371" s="61" t="str">
        <f ca="1">IF(A371="NTC", 1, IF(A371="", "",'Paste Sample Names Here'!$O$3))</f>
        <v/>
      </c>
      <c r="C371" s="27" t="str">
        <f ca="1">IF(A371="", "", OFFSET('Paste qPCR Data Here'!$F$31, 24*Sheet3!B46, 0))</f>
        <v/>
      </c>
      <c r="D371" s="27" t="str">
        <f t="shared" ca="1" si="10"/>
        <v/>
      </c>
      <c r="E371" s="27" t="str">
        <f t="shared" ca="1" si="11"/>
        <v/>
      </c>
    </row>
    <row r="372" spans="1:5" x14ac:dyDescent="0.2">
      <c r="A372" s="27" t="str">
        <f ca="1">'384 Well qPCR Layout'!W5</f>
        <v/>
      </c>
      <c r="B372" s="61" t="str">
        <f ca="1">IF(A372="", "",'Paste Sample Names Here'!$K$3)</f>
        <v/>
      </c>
      <c r="C372" s="27" t="str">
        <f ca="1">IF(A372="", "", OFFSET('Paste qPCR Data Here'!$F$31, 24*Sheet3!B47, 0))</f>
        <v/>
      </c>
      <c r="D372" s="27" t="str">
        <f t="shared" ca="1" si="10"/>
        <v/>
      </c>
      <c r="E372" s="27" t="str">
        <f t="shared" ca="1" si="11"/>
        <v/>
      </c>
    </row>
    <row r="373" spans="1:5" x14ac:dyDescent="0.2">
      <c r="A373" s="27" t="str">
        <f ca="1">'384 Well qPCR Layout'!W6</f>
        <v/>
      </c>
      <c r="B373" s="61" t="str">
        <f ca="1">IF(A373="NTC", 1, IF(A373="", "",'Paste Sample Names Here'!$O$3))</f>
        <v/>
      </c>
      <c r="C373" s="27" t="str">
        <f ca="1">IF(A373="", "", OFFSET('Paste qPCR Data Here'!$F$31, 24*Sheet3!B48, 0))</f>
        <v/>
      </c>
      <c r="D373" s="27" t="str">
        <f t="shared" ca="1" si="10"/>
        <v/>
      </c>
      <c r="E373" s="27" t="str">
        <f t="shared" ca="1" si="11"/>
        <v/>
      </c>
    </row>
    <row r="374" spans="1:5" x14ac:dyDescent="0.2">
      <c r="A374" s="27" t="str">
        <f ca="1">'384 Well qPCR Layout'!W7</f>
        <v/>
      </c>
      <c r="B374" s="61" t="str">
        <f ca="1">IF(A374="", "",'Paste Sample Names Here'!$K$3)</f>
        <v/>
      </c>
      <c r="C374" s="27" t="str">
        <f ca="1">IF(A374="", "", OFFSET('Paste qPCR Data Here'!$F$31, 24*Sheet3!B49, 0))</f>
        <v/>
      </c>
      <c r="D374" s="27" t="str">
        <f t="shared" ca="1" si="10"/>
        <v/>
      </c>
      <c r="E374" s="27" t="str">
        <f t="shared" ca="1" si="11"/>
        <v/>
      </c>
    </row>
    <row r="375" spans="1:5" x14ac:dyDescent="0.2">
      <c r="A375" s="27" t="str">
        <f ca="1">'384 Well qPCR Layout'!W8</f>
        <v/>
      </c>
      <c r="B375" s="61" t="str">
        <f ca="1">IF(A375="NTC", 1, IF(A375="", "",'Paste Sample Names Here'!$O$3))</f>
        <v/>
      </c>
      <c r="C375" s="27" t="str">
        <f ca="1">IF(A375="", "", OFFSET('Paste qPCR Data Here'!$F$31, 24*Sheet3!B50, 0))</f>
        <v/>
      </c>
      <c r="D375" s="27" t="str">
        <f t="shared" ca="1" si="10"/>
        <v/>
      </c>
      <c r="E375" s="27" t="str">
        <f t="shared" ca="1" si="11"/>
        <v/>
      </c>
    </row>
    <row r="376" spans="1:5" x14ac:dyDescent="0.2">
      <c r="A376" s="27" t="str">
        <f ca="1">'384 Well qPCR Layout'!W9</f>
        <v/>
      </c>
      <c r="B376" s="61" t="str">
        <f ca="1">IF(A376="", "",'Paste Sample Names Here'!$K$3)</f>
        <v/>
      </c>
      <c r="C376" s="27" t="str">
        <f ca="1">IF(A376="", "", OFFSET('Paste qPCR Data Here'!$F$31, 24*Sheet3!B51, 0))</f>
        <v/>
      </c>
      <c r="D376" s="27" t="str">
        <f t="shared" ca="1" si="10"/>
        <v/>
      </c>
      <c r="E376" s="27" t="str">
        <f t="shared" ca="1" si="11"/>
        <v/>
      </c>
    </row>
    <row r="377" spans="1:5" x14ac:dyDescent="0.2">
      <c r="A377" s="27" t="str">
        <f ca="1">'384 Well qPCR Layout'!W10</f>
        <v/>
      </c>
      <c r="B377" s="61" t="str">
        <f ca="1">IF(A377="NTC", 1, IF(A377="", "",'Paste Sample Names Here'!$O$3))</f>
        <v/>
      </c>
      <c r="C377" s="27" t="str">
        <f ca="1">IF(A377="", "", OFFSET('Paste qPCR Data Here'!$F$31, 24*Sheet3!B52, 0))</f>
        <v/>
      </c>
      <c r="D377" s="27" t="str">
        <f t="shared" ca="1" si="10"/>
        <v/>
      </c>
      <c r="E377" s="27" t="str">
        <f t="shared" ca="1" si="11"/>
        <v/>
      </c>
    </row>
    <row r="378" spans="1:5" x14ac:dyDescent="0.2">
      <c r="A378" s="27" t="str">
        <f ca="1">'384 Well qPCR Layout'!W11</f>
        <v/>
      </c>
      <c r="B378" s="61" t="str">
        <f ca="1">IF(A378="", "",'Paste Sample Names Here'!$K$3)</f>
        <v/>
      </c>
      <c r="C378" s="27" t="str">
        <f ca="1">IF(A378="", "", OFFSET('Paste qPCR Data Here'!$F$31, 24*Sheet3!B53, 0))</f>
        <v/>
      </c>
      <c r="D378" s="27" t="str">
        <f t="shared" ca="1" si="10"/>
        <v/>
      </c>
      <c r="E378" s="27" t="str">
        <f t="shared" ca="1" si="11"/>
        <v/>
      </c>
    </row>
    <row r="379" spans="1:5" x14ac:dyDescent="0.2">
      <c r="A379" s="27" t="str">
        <f ca="1">'384 Well qPCR Layout'!W12</f>
        <v>NTC</v>
      </c>
      <c r="B379" s="61">
        <f ca="1">IF(A379="NTC", 1, IF(A379="", "",'Paste Sample Names Here'!$O$3))</f>
        <v>1</v>
      </c>
      <c r="C379" s="27">
        <f ca="1">IF(A379="", "", OFFSET('Paste qPCR Data Here'!$F$31, 24*Sheet3!B54, 0))</f>
        <v>26.159000396728516</v>
      </c>
      <c r="D379" s="27">
        <f t="shared" ca="1" si="10"/>
        <v>3.6908226468090731E-4</v>
      </c>
      <c r="E379" s="27">
        <f t="shared" ca="1" si="11"/>
        <v>3.6908226468090731E-4</v>
      </c>
    </row>
    <row r="380" spans="1:5" x14ac:dyDescent="0.2">
      <c r="A380" s="27" t="str">
        <f ca="1">'384 Well qPCR Layout'!W13</f>
        <v/>
      </c>
      <c r="B380" s="61" t="str">
        <f ca="1">IF(A380="", "",'Paste Sample Names Here'!$K$3)</f>
        <v/>
      </c>
      <c r="C380" s="27" t="str">
        <f ca="1">IF(A380="", "", OFFSET('Paste qPCR Data Here'!$F$31, 24*Sheet3!B55, 0))</f>
        <v/>
      </c>
      <c r="D380" s="27" t="str">
        <f t="shared" ca="1" si="10"/>
        <v/>
      </c>
      <c r="E380" s="27" t="str">
        <f t="shared" ca="1" si="11"/>
        <v/>
      </c>
    </row>
    <row r="381" spans="1:5" x14ac:dyDescent="0.2">
      <c r="A381" s="27" t="str">
        <f ca="1">'384 Well qPCR Layout'!W14</f>
        <v>NTC</v>
      </c>
      <c r="B381" s="61">
        <f ca="1">IF(A381="NTC", 1, IF(A381="", "",'Paste Sample Names Here'!$O$3))</f>
        <v>1</v>
      </c>
      <c r="C381" s="27">
        <f ca="1">IF(A381="", "", OFFSET('Paste qPCR Data Here'!$F$31, 24*Sheet3!B56, 0))</f>
        <v>26.072999954223633</v>
      </c>
      <c r="D381" s="27">
        <f t="shared" ca="1" si="10"/>
        <v>3.8967894274647368E-4</v>
      </c>
      <c r="E381" s="27">
        <f t="shared" ca="1" si="11"/>
        <v>3.8967894274647368E-4</v>
      </c>
    </row>
    <row r="382" spans="1:5" x14ac:dyDescent="0.2">
      <c r="A382" s="27" t="str">
        <f ca="1">'384 Well qPCR Layout'!W15</f>
        <v/>
      </c>
      <c r="B382" s="61" t="str">
        <f ca="1">IF(A382="", "",'Paste Sample Names Here'!$K$3)</f>
        <v/>
      </c>
      <c r="C382" s="27" t="str">
        <f ca="1">IF(A382="", "", OFFSET('Paste qPCR Data Here'!$F$31, 24*Sheet3!B57, 0))</f>
        <v/>
      </c>
      <c r="D382" s="27" t="str">
        <f t="shared" ca="1" si="10"/>
        <v/>
      </c>
      <c r="E382" s="27" t="str">
        <f t="shared" ca="1" si="11"/>
        <v/>
      </c>
    </row>
    <row r="383" spans="1:5" x14ac:dyDescent="0.2">
      <c r="A383" s="27" t="str">
        <f ca="1">'384 Well qPCR Layout'!W16</f>
        <v>NTC</v>
      </c>
      <c r="B383" s="61">
        <f ca="1">IF(A383="NTC", 1, IF(A383="", "",'Paste Sample Names Here'!$O$3))</f>
        <v>1</v>
      </c>
      <c r="C383" s="27">
        <f ca="1">IF(A383="", "", OFFSET('Paste qPCR Data Here'!$F$31, 24*Sheet3!B58, 0))</f>
        <v>26.205999374389648</v>
      </c>
      <c r="D383" s="27">
        <f t="shared" ca="1" si="10"/>
        <v>3.582900301379261E-4</v>
      </c>
      <c r="E383" s="27">
        <f t="shared" ca="1" si="11"/>
        <v>3.582900301379261E-4</v>
      </c>
    </row>
    <row r="384" spans="1:5" x14ac:dyDescent="0.2">
      <c r="A384" s="27" t="str">
        <f ca="1">'384 Well qPCR Layout'!W17</f>
        <v/>
      </c>
      <c r="B384" s="61" t="str">
        <f ca="1">IF(A384="", "",'Paste Sample Names Here'!$K$3)</f>
        <v/>
      </c>
      <c r="C384" s="27" t="str">
        <f ca="1">IF(A384="", "", OFFSET('Paste qPCR Data Here'!$F$31, 24*Sheet3!B59, 0))</f>
        <v/>
      </c>
      <c r="D384" s="27" t="str">
        <f t="shared" ca="1" si="10"/>
        <v/>
      </c>
      <c r="E384" s="27" t="str">
        <f t="shared" ca="1" si="11"/>
        <v/>
      </c>
    </row>
    <row r="385" spans="1:5" x14ac:dyDescent="0.2">
      <c r="A385" s="27" t="str">
        <f ca="1">'384 Well qPCR Layout'!W18</f>
        <v>NTC</v>
      </c>
      <c r="B385" s="61">
        <f ca="1">IF(A385="NTC", 1, IF(A385="", "",'Paste Sample Names Here'!$O$3))</f>
        <v>1</v>
      </c>
      <c r="C385" s="27">
        <f ca="1">IF(A385="", "", OFFSET('Paste qPCR Data Here'!$F$31, 24*Sheet3!B60, 0))</f>
        <v>26.450000762939453</v>
      </c>
      <c r="D385" s="27">
        <f t="shared" ca="1" si="10"/>
        <v>3.0713026860241171E-4</v>
      </c>
      <c r="E385" s="27">
        <f t="shared" ca="1" si="11"/>
        <v>3.0713026860241171E-4</v>
      </c>
    </row>
    <row r="386" spans="1:5" x14ac:dyDescent="0.2">
      <c r="A386" s="27" t="str">
        <f ca="1">'384 Well qPCR Layout'!Y3</f>
        <v/>
      </c>
      <c r="B386" s="61" t="str">
        <f ca="1">IF(A386="", "",'Paste Sample Names Here'!$K$3)</f>
        <v/>
      </c>
      <c r="C386" s="27" t="str">
        <f ca="1">IF(A386="", "", OFFSET('Paste qPCR Data Here'!$F$33, 24*Sheet3!B45, 0))</f>
        <v/>
      </c>
      <c r="D386" s="27" t="str">
        <f t="shared" ca="1" si="10"/>
        <v/>
      </c>
      <c r="E386" s="27" t="str">
        <f t="shared" ca="1" si="11"/>
        <v/>
      </c>
    </row>
    <row r="387" spans="1:5" x14ac:dyDescent="0.2">
      <c r="A387" s="27" t="str">
        <f ca="1">'384 Well qPCR Layout'!Y4</f>
        <v>Standard 1</v>
      </c>
      <c r="B387" s="62">
        <v>1</v>
      </c>
      <c r="C387" s="27">
        <f ca="1">IF(A387="", "", OFFSET('Paste qPCR Data Here'!$F$33, 24*Sheet3!B46, 0))</f>
        <v>8.8719997406005859</v>
      </c>
      <c r="D387" s="27">
        <f t="shared" ca="1" si="10"/>
        <v>20.309968725497477</v>
      </c>
      <c r="E387" s="27">
        <f t="shared" ca="1" si="11"/>
        <v>20.309968725497477</v>
      </c>
    </row>
    <row r="388" spans="1:5" x14ac:dyDescent="0.2">
      <c r="A388" s="27" t="str">
        <f ca="1">'384 Well qPCR Layout'!Y5</f>
        <v/>
      </c>
      <c r="B388" s="61" t="str">
        <f ca="1">IF(A388="", "",'Paste Sample Names Here'!$K$3)</f>
        <v/>
      </c>
      <c r="C388" s="27" t="str">
        <f ca="1">IF(A388="", "", OFFSET('Paste qPCR Data Here'!$F$33, 24*Sheet3!B47, 0))</f>
        <v/>
      </c>
      <c r="D388" s="27" t="str">
        <f t="shared" ca="1" si="10"/>
        <v/>
      </c>
      <c r="E388" s="27" t="str">
        <f t="shared" ca="1" si="11"/>
        <v/>
      </c>
    </row>
    <row r="389" spans="1:5" x14ac:dyDescent="0.2">
      <c r="A389" s="27" t="str">
        <f ca="1">'384 Well qPCR Layout'!Y6</f>
        <v>Standard 2</v>
      </c>
      <c r="B389" s="62">
        <v>10</v>
      </c>
      <c r="C389" s="27">
        <f ca="1">IF(A389="", "", OFFSET('Paste qPCR Data Here'!$F$33, 24*Sheet3!B48, 0))</f>
        <v>12.718999862670898</v>
      </c>
      <c r="D389" s="27">
        <f t="shared" ca="1" si="10"/>
        <v>1.7895863855015886</v>
      </c>
      <c r="E389" s="27">
        <f t="shared" ca="1" si="11"/>
        <v>17.895863855015886</v>
      </c>
    </row>
    <row r="390" spans="1:5" x14ac:dyDescent="0.2">
      <c r="A390" s="27" t="str">
        <f ca="1">'384 Well qPCR Layout'!Y7</f>
        <v/>
      </c>
      <c r="B390" s="61" t="str">
        <f ca="1">IF(A390="", "",'Paste Sample Names Here'!$K$3)</f>
        <v/>
      </c>
      <c r="C390" s="27" t="str">
        <f ca="1">IF(A390="", "", OFFSET('Paste qPCR Data Here'!$F$33, 24*Sheet3!B49, 0))</f>
        <v/>
      </c>
      <c r="D390" s="27" t="str">
        <f t="shared" ca="1" si="10"/>
        <v/>
      </c>
      <c r="E390" s="27" t="str">
        <f t="shared" ca="1" si="11"/>
        <v/>
      </c>
    </row>
    <row r="391" spans="1:5" x14ac:dyDescent="0.2">
      <c r="A391" s="27" t="str">
        <f ca="1">'384 Well qPCR Layout'!Y8</f>
        <v>Standard 3</v>
      </c>
      <c r="B391" s="62">
        <v>100</v>
      </c>
      <c r="C391" s="27">
        <f ca="1">IF(A391="", "", OFFSET('Paste qPCR Data Here'!$F$33, 24*Sheet3!B50, 0))</f>
        <v>16.128999710083008</v>
      </c>
      <c r="D391" s="27">
        <f t="shared" ca="1" si="10"/>
        <v>0.20779445505101346</v>
      </c>
      <c r="E391" s="27">
        <f t="shared" ca="1" si="11"/>
        <v>20.779445505101346</v>
      </c>
    </row>
    <row r="392" spans="1:5" x14ac:dyDescent="0.2">
      <c r="A392" s="27" t="str">
        <f ca="1">'384 Well qPCR Layout'!Y9</f>
        <v/>
      </c>
      <c r="B392" s="61" t="str">
        <f ca="1">IF(A392="", "",'Paste Sample Names Here'!$K$3)</f>
        <v/>
      </c>
      <c r="C392" s="27" t="str">
        <f ca="1">IF(A392="", "", OFFSET('Paste qPCR Data Here'!$F$33, 24*Sheet3!B51, 0))</f>
        <v/>
      </c>
      <c r="D392" s="27" t="str">
        <f t="shared" ca="1" si="10"/>
        <v/>
      </c>
      <c r="E392" s="27" t="str">
        <f t="shared" ca="1" si="11"/>
        <v/>
      </c>
    </row>
    <row r="393" spans="1:5" x14ac:dyDescent="0.2">
      <c r="A393" s="27" t="str">
        <f ca="1">'384 Well qPCR Layout'!Y10</f>
        <v>Standard 4</v>
      </c>
      <c r="B393" s="62">
        <v>1000</v>
      </c>
      <c r="C393" s="27">
        <f ca="1">IF(A393="", "", OFFSET('Paste qPCR Data Here'!$F$33, 24*Sheet3!B52, 0))</f>
        <v>19.743999481201172</v>
      </c>
      <c r="D393" s="27">
        <f t="shared" ca="1" si="10"/>
        <v>2.1198173665868587E-2</v>
      </c>
      <c r="E393" s="27">
        <f t="shared" ca="1" si="11"/>
        <v>21.198173665868588</v>
      </c>
    </row>
    <row r="394" spans="1:5" x14ac:dyDescent="0.2">
      <c r="A394" s="27" t="str">
        <f ca="1">'384 Well qPCR Layout'!Y11</f>
        <v/>
      </c>
      <c r="B394" s="61" t="str">
        <f ca="1">IF(A394="", "",'Paste Sample Names Here'!$K$3)</f>
        <v/>
      </c>
      <c r="C394" s="27" t="str">
        <f ca="1">IF(A394="", "", OFFSET('Paste qPCR Data Here'!$F$33, 24*Sheet3!B53, 0))</f>
        <v/>
      </c>
      <c r="D394" s="27" t="str">
        <f t="shared" ca="1" si="10"/>
        <v/>
      </c>
      <c r="E394" s="27" t="str">
        <f t="shared" ca="1" si="11"/>
        <v/>
      </c>
    </row>
    <row r="395" spans="1:5" x14ac:dyDescent="0.2">
      <c r="A395" s="27" t="str">
        <f ca="1">'384 Well qPCR Layout'!Y12</f>
        <v>Standard 1</v>
      </c>
      <c r="B395" s="62">
        <v>1</v>
      </c>
      <c r="C395" s="27">
        <f ca="1">IF(A395="", "", OFFSET('Paste qPCR Data Here'!$F$33, 24*Sheet3!B54, 0))</f>
        <v>8.7779998779296875</v>
      </c>
      <c r="D395" s="27">
        <f t="shared" ca="1" si="10"/>
        <v>21.551955622703233</v>
      </c>
      <c r="E395" s="27">
        <f t="shared" ca="1" si="11"/>
        <v>21.551955622703233</v>
      </c>
    </row>
    <row r="396" spans="1:5" x14ac:dyDescent="0.2">
      <c r="A396" s="27" t="str">
        <f ca="1">'384 Well qPCR Layout'!Y13</f>
        <v/>
      </c>
      <c r="B396" s="61" t="str">
        <f ca="1">IF(A396="", "",'Paste Sample Names Here'!$K$3)</f>
        <v/>
      </c>
      <c r="C396" s="27" t="str">
        <f ca="1">IF(A396="", "", OFFSET('Paste qPCR Data Here'!$F$33, 24*Sheet3!B55, 0))</f>
        <v/>
      </c>
      <c r="D396" s="27" t="str">
        <f t="shared" ca="1" si="10"/>
        <v/>
      </c>
      <c r="E396" s="27" t="str">
        <f t="shared" ca="1" si="11"/>
        <v/>
      </c>
    </row>
    <row r="397" spans="1:5" x14ac:dyDescent="0.2">
      <c r="A397" s="27" t="str">
        <f ca="1">'384 Well qPCR Layout'!Y14</f>
        <v>Standard 2</v>
      </c>
      <c r="B397" s="62">
        <v>10</v>
      </c>
      <c r="C397" s="27">
        <f ca="1">IF(A397="", "", OFFSET('Paste qPCR Data Here'!$F$33, 24*Sheet3!B56, 0))</f>
        <v>12.642999649047852</v>
      </c>
      <c r="D397" s="27">
        <f t="shared" ca="1" si="10"/>
        <v>1.8775611144043729</v>
      </c>
      <c r="E397" s="27">
        <f t="shared" ca="1" si="11"/>
        <v>18.775611144043729</v>
      </c>
    </row>
    <row r="398" spans="1:5" x14ac:dyDescent="0.2">
      <c r="A398" s="27" t="str">
        <f ca="1">'384 Well qPCR Layout'!Y15</f>
        <v/>
      </c>
      <c r="B398" s="61" t="str">
        <f ca="1">IF(A398="", "",'Paste Sample Names Here'!$K$3)</f>
        <v/>
      </c>
      <c r="C398" s="27" t="str">
        <f ca="1">IF(A398="", "", OFFSET('Paste qPCR Data Here'!$F$33, 24*Sheet3!B57, 0))</f>
        <v/>
      </c>
      <c r="D398" s="27" t="str">
        <f t="shared" ca="1" si="10"/>
        <v/>
      </c>
      <c r="E398" s="27" t="str">
        <f t="shared" ca="1" si="11"/>
        <v/>
      </c>
    </row>
    <row r="399" spans="1:5" x14ac:dyDescent="0.2">
      <c r="A399" s="27" t="str">
        <f ca="1">'384 Well qPCR Layout'!Y16</f>
        <v>Standard 3</v>
      </c>
      <c r="B399" s="62">
        <v>100</v>
      </c>
      <c r="C399" s="27">
        <f ca="1">IF(A399="", "", OFFSET('Paste qPCR Data Here'!$F$33, 24*Sheet3!B58, 0))</f>
        <v>16.141000747680664</v>
      </c>
      <c r="D399" s="27">
        <f t="shared" ca="1" si="10"/>
        <v>0.20622576784602009</v>
      </c>
      <c r="E399" s="27">
        <f t="shared" ca="1" si="11"/>
        <v>20.62257678460201</v>
      </c>
    </row>
    <row r="400" spans="1:5" x14ac:dyDescent="0.2">
      <c r="A400" s="27" t="str">
        <f ca="1">'384 Well qPCR Layout'!Y17</f>
        <v/>
      </c>
      <c r="B400" s="61" t="str">
        <f ca="1">IF(A400="", "",'Paste Sample Names Here'!$K$3)</f>
        <v/>
      </c>
      <c r="C400" s="27" t="str">
        <f ca="1">IF(A400="", "", OFFSET('Paste qPCR Data Here'!$F$33, 24*Sheet3!B59, 0))</f>
        <v/>
      </c>
      <c r="D400" s="27" t="str">
        <f t="shared" ca="1" si="10"/>
        <v/>
      </c>
      <c r="E400" s="27" t="str">
        <f t="shared" ca="1" si="11"/>
        <v/>
      </c>
    </row>
    <row r="401" spans="1:5" x14ac:dyDescent="0.2">
      <c r="A401" s="27" t="str">
        <f ca="1">'384 Well qPCR Layout'!Y18</f>
        <v>Standard 4</v>
      </c>
      <c r="B401" s="62">
        <v>1000</v>
      </c>
      <c r="C401" s="27">
        <f ca="1">IF(A401="", "", OFFSET('Paste qPCR Data Here'!$F$33, 24*Sheet3!B60, 0))</f>
        <v>19.903999328613281</v>
      </c>
      <c r="D401" s="27">
        <f t="shared" ca="1" si="10"/>
        <v>1.9161166638895454E-2</v>
      </c>
      <c r="E401" s="27">
        <f t="shared" ca="1" si="11"/>
        <v>19.161166638895455</v>
      </c>
    </row>
  </sheetData>
  <mergeCells count="1">
    <mergeCell ref="A1:E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>
    <pageSetUpPr fitToPage="1"/>
  </sheetPr>
  <dimension ref="A1:AD98"/>
  <sheetViews>
    <sheetView tabSelected="1" workbookViewId="0">
      <selection activeCell="A3" sqref="A3:F93"/>
    </sheetView>
  </sheetViews>
  <sheetFormatPr baseColWidth="10" defaultColWidth="8.83203125" defaultRowHeight="15" x14ac:dyDescent="0.2"/>
  <cols>
    <col min="1" max="1" width="13.83203125" customWidth="1"/>
    <col min="2" max="4" width="11.1640625" customWidth="1"/>
    <col min="5" max="5" width="12.5" customWidth="1"/>
    <col min="6" max="6" width="11.1640625" bestFit="1" customWidth="1"/>
    <col min="7" max="7" width="11.1640625" customWidth="1"/>
    <col min="8" max="8" width="13.83203125" customWidth="1"/>
    <col min="9" max="11" width="11.1640625" customWidth="1"/>
    <col min="12" max="12" width="12.5" customWidth="1"/>
    <col min="13" max="13" width="11.1640625" bestFit="1" customWidth="1"/>
    <col min="15" max="15" width="13.83203125" customWidth="1"/>
    <col min="16" max="18" width="11.1640625" customWidth="1"/>
    <col min="19" max="19" width="12.5" customWidth="1"/>
    <col min="20" max="20" width="11.1640625" bestFit="1" customWidth="1"/>
    <col min="21" max="21" width="11.1640625" customWidth="1"/>
    <col min="22" max="22" width="13.83203125" customWidth="1"/>
    <col min="23" max="25" width="11.1640625" customWidth="1"/>
    <col min="26" max="26" width="12.5" customWidth="1"/>
    <col min="27" max="27" width="11.1640625" bestFit="1" customWidth="1"/>
  </cols>
  <sheetData>
    <row r="1" spans="1:30" ht="57.75" customHeight="1" thickBot="1" x14ac:dyDescent="0.25">
      <c r="A1" s="156" t="s">
        <v>239</v>
      </c>
      <c r="B1" s="157"/>
      <c r="C1" s="157"/>
      <c r="D1" s="157"/>
      <c r="E1" s="157"/>
      <c r="F1" s="158"/>
      <c r="G1" s="69"/>
      <c r="H1" s="156" t="s">
        <v>240</v>
      </c>
      <c r="I1" s="157"/>
      <c r="J1" s="157"/>
      <c r="K1" s="157"/>
      <c r="L1" s="157"/>
      <c r="M1" s="158"/>
      <c r="N1" s="69"/>
      <c r="O1" s="156" t="s">
        <v>241</v>
      </c>
      <c r="P1" s="157"/>
      <c r="Q1" s="157"/>
      <c r="R1" s="157"/>
      <c r="S1" s="157"/>
      <c r="T1" s="158"/>
      <c r="U1" s="69"/>
      <c r="V1" s="156" t="s">
        <v>242</v>
      </c>
      <c r="W1" s="157"/>
      <c r="X1" s="157"/>
      <c r="Y1" s="157"/>
      <c r="Z1" s="157"/>
      <c r="AA1" s="158"/>
    </row>
    <row r="2" spans="1:30" ht="33" thickBot="1" x14ac:dyDescent="0.25">
      <c r="A2" s="19" t="s">
        <v>153</v>
      </c>
      <c r="B2" s="19" t="s">
        <v>39</v>
      </c>
      <c r="C2" s="19" t="s">
        <v>40</v>
      </c>
      <c r="D2" s="19" t="s">
        <v>41</v>
      </c>
      <c r="E2" s="19" t="s">
        <v>156</v>
      </c>
      <c r="F2" s="19" t="s">
        <v>158</v>
      </c>
      <c r="G2" s="70"/>
      <c r="H2" s="19" t="s">
        <v>153</v>
      </c>
      <c r="I2" s="19" t="s">
        <v>39</v>
      </c>
      <c r="J2" s="19" t="s">
        <v>40</v>
      </c>
      <c r="K2" s="19" t="s">
        <v>41</v>
      </c>
      <c r="L2" s="19" t="s">
        <v>157</v>
      </c>
      <c r="M2" s="19" t="s">
        <v>158</v>
      </c>
      <c r="N2" s="69"/>
      <c r="O2" s="19" t="s">
        <v>153</v>
      </c>
      <c r="P2" s="19" t="s">
        <v>39</v>
      </c>
      <c r="Q2" s="19" t="s">
        <v>40</v>
      </c>
      <c r="R2" s="19" t="s">
        <v>41</v>
      </c>
      <c r="S2" s="19" t="s">
        <v>157</v>
      </c>
      <c r="T2" s="19" t="s">
        <v>159</v>
      </c>
      <c r="U2" s="70"/>
      <c r="V2" s="19" t="s">
        <v>153</v>
      </c>
      <c r="W2" s="19" t="s">
        <v>39</v>
      </c>
      <c r="X2" s="19" t="s">
        <v>40</v>
      </c>
      <c r="Y2" s="19" t="s">
        <v>41</v>
      </c>
      <c r="Z2" s="19" t="s">
        <v>156</v>
      </c>
      <c r="AA2" s="19" t="s">
        <v>159</v>
      </c>
    </row>
    <row r="3" spans="1:30" x14ac:dyDescent="0.2">
      <c r="A3" s="23" t="s">
        <v>253</v>
      </c>
      <c r="B3" s="24" t="s">
        <v>254</v>
      </c>
      <c r="C3" s="23" t="s">
        <v>239</v>
      </c>
      <c r="D3" s="23" t="s">
        <v>167</v>
      </c>
      <c r="E3" s="23">
        <v>7.7849998474121094</v>
      </c>
      <c r="F3" s="84">
        <v>40345.533969351454</v>
      </c>
      <c r="G3" s="23"/>
      <c r="H3" s="23" t="str">
        <f>IF('Paste Sample Names Here'!G5="", "", 'Paste Sample Names Here'!G5)</f>
        <v/>
      </c>
      <c r="I3" s="24" t="str">
        <f>IF('Paste Sample Names Here'!F5="", "", 'Paste Sample Names Here'!F5)</f>
        <v/>
      </c>
      <c r="J3" s="23" t="str">
        <f>IF(I3="", "", $H$1)</f>
        <v/>
      </c>
      <c r="K3" s="23" t="str">
        <f>IF(I3="", "", Sheet3!H20)</f>
        <v/>
      </c>
      <c r="L3" s="23" t="str">
        <f ca="1">IF(I3="", "", OFFSET(Data!$C$19, 2*Sheet3!B63, 0))</f>
        <v/>
      </c>
      <c r="M3" s="23" t="str">
        <f ca="1">IF(I3="", "", OFFSET(Data!$E$19, 2*Sheet3!B63, 0))</f>
        <v/>
      </c>
      <c r="N3" s="32"/>
      <c r="O3" s="23" t="str">
        <f>IF('Paste Sample Names Here'!K5="", "", 'Paste Sample Names Here'!K5)</f>
        <v/>
      </c>
      <c r="P3" s="24" t="str">
        <f>IF('Paste Sample Names Here'!J5="", "", 'Paste Sample Names Here'!J5)</f>
        <v/>
      </c>
      <c r="Q3" s="23" t="str">
        <f>IF(P3="", "", $O$1)</f>
        <v/>
      </c>
      <c r="R3" s="23" t="str">
        <f>IF(P3="", "", Sheet3!H20)</f>
        <v/>
      </c>
      <c r="S3" s="23" t="str">
        <f ca="1">IF(P3="", "", OFFSET(Data!$C$210, 2*Sheet3!B63, 0))</f>
        <v/>
      </c>
      <c r="T3" s="23" t="str">
        <f ca="1">IF(P3="", "", OFFSET(Data!$E$210, 2*Sheet3!B63, 0))</f>
        <v/>
      </c>
      <c r="U3" s="23"/>
      <c r="V3" s="23" t="str">
        <f>IF('Paste Sample Names Here'!O5="","", 'Paste Sample Names Here'!O5)</f>
        <v/>
      </c>
      <c r="W3" s="24" t="str">
        <f>IF('Paste Sample Names Here'!N5="", "",'Paste Sample Names Here'!N5)</f>
        <v/>
      </c>
      <c r="X3" s="23" t="str">
        <f>IF(W3="", "", $V$1)</f>
        <v/>
      </c>
      <c r="Y3" s="23" t="str">
        <f>IF(W3="", "", Sheet3!H20)</f>
        <v/>
      </c>
      <c r="Z3" s="23" t="str">
        <f ca="1">IF(W3="", "", OFFSET(Data!$C$211, 2*Sheet3!B63, 0))</f>
        <v/>
      </c>
      <c r="AA3" s="23" t="str">
        <f ca="1">IF(W3="", "", OFFSET(Data!$E$211, 2*Sheet3!B63, 0))</f>
        <v/>
      </c>
      <c r="AC3" s="23"/>
      <c r="AD3" s="23"/>
    </row>
    <row r="4" spans="1:30" x14ac:dyDescent="0.2">
      <c r="A4" s="23" t="s">
        <v>253</v>
      </c>
      <c r="B4" s="24" t="s">
        <v>255</v>
      </c>
      <c r="C4" s="23" t="s">
        <v>239</v>
      </c>
      <c r="D4" s="23" t="s">
        <v>168</v>
      </c>
      <c r="E4" s="23">
        <v>7.7080001831054688</v>
      </c>
      <c r="F4" s="23">
        <v>42355.611915294801</v>
      </c>
      <c r="G4" s="23"/>
      <c r="H4" s="23" t="str">
        <f>IF('Paste Sample Names Here'!G6="", "", 'Paste Sample Names Here'!G6)</f>
        <v/>
      </c>
      <c r="I4" s="24" t="str">
        <f>IF('Paste Sample Names Here'!F6="", "", 'Paste Sample Names Here'!F6)</f>
        <v/>
      </c>
      <c r="J4" s="23" t="str">
        <f t="shared" ref="J4:J67" si="0">IF(I4="", "", $H$1)</f>
        <v/>
      </c>
      <c r="K4" s="23" t="str">
        <f>IF(I4="", "", Sheet3!H21)</f>
        <v/>
      </c>
      <c r="L4" s="23" t="str">
        <f ca="1">IF(I4="", "", OFFSET(Data!$C$19, 2*Sheet3!B64, 0))</f>
        <v/>
      </c>
      <c r="M4" s="23" t="str">
        <f ca="1">IF(I4="", "", OFFSET(Data!$E$19, 2*Sheet3!B64, 0))</f>
        <v/>
      </c>
      <c r="N4" s="32"/>
      <c r="O4" s="23" t="str">
        <f>IF('Paste Sample Names Here'!K6="", "", 'Paste Sample Names Here'!K6)</f>
        <v/>
      </c>
      <c r="P4" s="24" t="str">
        <f>IF('Paste Sample Names Here'!J6="", "", 'Paste Sample Names Here'!J6)</f>
        <v/>
      </c>
      <c r="Q4" s="23" t="str">
        <f t="shared" ref="Q4:Q67" si="1">IF(P4="", "", $O$1)</f>
        <v/>
      </c>
      <c r="R4" s="23" t="str">
        <f>IF(P4="", "", Sheet3!H21)</f>
        <v/>
      </c>
      <c r="S4" s="23" t="str">
        <f ca="1">IF(P4="", "", OFFSET(Data!$C$210, 2*Sheet3!B64, 0))</f>
        <v/>
      </c>
      <c r="T4" s="23" t="str">
        <f ca="1">IF(P4="", "", OFFSET(Data!$E$210, 2*Sheet3!B64, 0))</f>
        <v/>
      </c>
      <c r="U4" s="23"/>
      <c r="V4" s="23" t="str">
        <f>IF('Paste Sample Names Here'!O6="","", 'Paste Sample Names Here'!O6)</f>
        <v/>
      </c>
      <c r="W4" s="24" t="str">
        <f>IF('Paste Sample Names Here'!N6="", "",'Paste Sample Names Here'!N6)</f>
        <v/>
      </c>
      <c r="X4" s="23" t="str">
        <f t="shared" ref="X4:X67" si="2">IF(W4="", "", $V$1)</f>
        <v/>
      </c>
      <c r="Y4" s="23" t="str">
        <f>IF(W4="", "", Sheet3!H21)</f>
        <v/>
      </c>
      <c r="Z4" s="23" t="str">
        <f ca="1">IF(W4="", "", OFFSET(Data!$C$211, 2*Sheet3!B64, 0))</f>
        <v/>
      </c>
      <c r="AA4" s="23" t="str">
        <f ca="1">IF(W4="", "", OFFSET(Data!$E$211, 2*Sheet3!B64, 0))</f>
        <v/>
      </c>
    </row>
    <row r="5" spans="1:30" x14ac:dyDescent="0.2">
      <c r="A5" s="23" t="s">
        <v>253</v>
      </c>
      <c r="B5" s="24" t="s">
        <v>256</v>
      </c>
      <c r="C5" s="23" t="s">
        <v>239</v>
      </c>
      <c r="D5" s="23" t="s">
        <v>169</v>
      </c>
      <c r="E5" s="23">
        <v>8.5799999237060547</v>
      </c>
      <c r="F5" s="23">
        <v>24422.149733168222</v>
      </c>
      <c r="G5" s="23"/>
      <c r="H5" s="23" t="str">
        <f>IF('Paste Sample Names Here'!G7="", "", 'Paste Sample Names Here'!G7)</f>
        <v/>
      </c>
      <c r="I5" s="24" t="str">
        <f>IF('Paste Sample Names Here'!F7="", "", 'Paste Sample Names Here'!F7)</f>
        <v/>
      </c>
      <c r="J5" s="23" t="str">
        <f t="shared" si="0"/>
        <v/>
      </c>
      <c r="K5" s="23" t="str">
        <f>IF(I5="", "", Sheet3!H22)</f>
        <v/>
      </c>
      <c r="L5" s="23" t="str">
        <f ca="1">IF(I5="", "", OFFSET(Data!$C$19, 2*Sheet3!B65, 0))</f>
        <v/>
      </c>
      <c r="M5" s="23" t="str">
        <f ca="1">IF(I5="", "", OFFSET(Data!$E$19, 2*Sheet3!B65, 0))</f>
        <v/>
      </c>
      <c r="N5" s="32"/>
      <c r="O5" s="23" t="str">
        <f>IF('Paste Sample Names Here'!K7="", "", 'Paste Sample Names Here'!K7)</f>
        <v/>
      </c>
      <c r="P5" s="24" t="str">
        <f>IF('Paste Sample Names Here'!J7="", "", 'Paste Sample Names Here'!J7)</f>
        <v/>
      </c>
      <c r="Q5" s="23" t="str">
        <f t="shared" si="1"/>
        <v/>
      </c>
      <c r="R5" s="23" t="str">
        <f>IF(P5="", "", Sheet3!H22)</f>
        <v/>
      </c>
      <c r="S5" s="23" t="str">
        <f ca="1">IF(P5="", "", OFFSET(Data!$C$210, 2*Sheet3!B65, 0))</f>
        <v/>
      </c>
      <c r="T5" s="23" t="str">
        <f ca="1">IF(P5="", "", OFFSET(Data!$E$210, 2*Sheet3!B65, 0))</f>
        <v/>
      </c>
      <c r="U5" s="23"/>
      <c r="V5" s="23" t="str">
        <f>IF('Paste Sample Names Here'!O7="","", 'Paste Sample Names Here'!O7)</f>
        <v/>
      </c>
      <c r="W5" s="24" t="str">
        <f>IF('Paste Sample Names Here'!N7="", "",'Paste Sample Names Here'!N7)</f>
        <v/>
      </c>
      <c r="X5" s="23" t="str">
        <f t="shared" si="2"/>
        <v/>
      </c>
      <c r="Y5" s="23" t="str">
        <f>IF(W5="", "", Sheet3!H22)</f>
        <v/>
      </c>
      <c r="Z5" s="23" t="str">
        <f ca="1">IF(W5="", "", OFFSET(Data!$C$211, 2*Sheet3!B65, 0))</f>
        <v/>
      </c>
      <c r="AA5" s="23" t="str">
        <f ca="1">IF(W5="", "", OFFSET(Data!$E$211, 2*Sheet3!B65, 0))</f>
        <v/>
      </c>
    </row>
    <row r="6" spans="1:30" ht="15.75" customHeight="1" x14ac:dyDescent="0.2">
      <c r="A6" s="23" t="s">
        <v>253</v>
      </c>
      <c r="B6" s="24" t="s">
        <v>257</v>
      </c>
      <c r="C6" s="23" t="s">
        <v>239</v>
      </c>
      <c r="D6" s="23" t="s">
        <v>170</v>
      </c>
      <c r="E6" s="23">
        <v>7.3979997634887695</v>
      </c>
      <c r="F6" s="23">
        <v>51513.596440166941</v>
      </c>
      <c r="G6" s="23"/>
      <c r="H6" s="23" t="str">
        <f>IF('Paste Sample Names Here'!G8="", "", 'Paste Sample Names Here'!G8)</f>
        <v/>
      </c>
      <c r="I6" s="24" t="str">
        <f>IF('Paste Sample Names Here'!F8="", "", 'Paste Sample Names Here'!F8)</f>
        <v/>
      </c>
      <c r="J6" s="23" t="str">
        <f t="shared" si="0"/>
        <v/>
      </c>
      <c r="K6" s="23" t="str">
        <f>IF(I6="", "", Sheet3!H23)</f>
        <v/>
      </c>
      <c r="L6" s="23" t="str">
        <f ca="1">IF(I6="", "", OFFSET(Data!$C$19, 2*Sheet3!B66, 0))</f>
        <v/>
      </c>
      <c r="M6" s="23" t="str">
        <f ca="1">IF(I6="", "", OFFSET(Data!$E$19, 2*Sheet3!B66, 0))</f>
        <v/>
      </c>
      <c r="N6" s="32"/>
      <c r="O6" s="23" t="str">
        <f>IF('Paste Sample Names Here'!K8="", "", 'Paste Sample Names Here'!K8)</f>
        <v/>
      </c>
      <c r="P6" s="24" t="str">
        <f>IF('Paste Sample Names Here'!J8="", "", 'Paste Sample Names Here'!J8)</f>
        <v/>
      </c>
      <c r="Q6" s="23" t="str">
        <f t="shared" si="1"/>
        <v/>
      </c>
      <c r="R6" s="23" t="str">
        <f>IF(P6="", "", Sheet3!H23)</f>
        <v/>
      </c>
      <c r="S6" s="23" t="str">
        <f ca="1">IF(P6="", "", OFFSET(Data!$C$210, 2*Sheet3!B66, 0))</f>
        <v/>
      </c>
      <c r="T6" s="23" t="str">
        <f ca="1">IF(P6="", "", OFFSET(Data!$E$210, 2*Sheet3!B66, 0))</f>
        <v/>
      </c>
      <c r="U6" s="23"/>
      <c r="V6" s="23" t="str">
        <f>IF('Paste Sample Names Here'!O8="","", 'Paste Sample Names Here'!O8)</f>
        <v/>
      </c>
      <c r="W6" s="24" t="str">
        <f>IF('Paste Sample Names Here'!N8="", "",'Paste Sample Names Here'!N8)</f>
        <v/>
      </c>
      <c r="X6" s="23" t="str">
        <f t="shared" si="2"/>
        <v/>
      </c>
      <c r="Y6" s="23" t="str">
        <f>IF(W6="", "", Sheet3!H23)</f>
        <v/>
      </c>
      <c r="Z6" s="23" t="str">
        <f ca="1">IF(W6="", "", OFFSET(Data!$C$211, 2*Sheet3!B66, 0))</f>
        <v/>
      </c>
      <c r="AA6" s="23" t="str">
        <f ca="1">IF(W6="", "", OFFSET(Data!$E$211, 2*Sheet3!B66, 0))</f>
        <v/>
      </c>
    </row>
    <row r="7" spans="1:30" x14ac:dyDescent="0.2">
      <c r="A7" s="23" t="s">
        <v>253</v>
      </c>
      <c r="B7" s="24" t="s">
        <v>258</v>
      </c>
      <c r="C7" s="23" t="s">
        <v>239</v>
      </c>
      <c r="D7" s="23" t="s">
        <v>171</v>
      </c>
      <c r="E7" s="23">
        <v>6.9840002059936523</v>
      </c>
      <c r="F7" s="23">
        <v>66904.032812275138</v>
      </c>
      <c r="G7" s="23"/>
      <c r="H7" s="23" t="str">
        <f>IF('Paste Sample Names Here'!G9="", "", 'Paste Sample Names Here'!G9)</f>
        <v/>
      </c>
      <c r="I7" s="24" t="str">
        <f>IF('Paste Sample Names Here'!F9="", "", 'Paste Sample Names Here'!F9)</f>
        <v/>
      </c>
      <c r="J7" s="23" t="str">
        <f t="shared" si="0"/>
        <v/>
      </c>
      <c r="K7" s="23" t="str">
        <f>IF(I7="", "", Sheet3!H24)</f>
        <v/>
      </c>
      <c r="L7" s="23" t="str">
        <f ca="1">IF(I7="", "", OFFSET(Data!$C$19, 2*Sheet3!B67, 0))</f>
        <v/>
      </c>
      <c r="M7" s="23" t="str">
        <f ca="1">IF(I7="", "", OFFSET(Data!$E$19, 2*Sheet3!B67, 0))</f>
        <v/>
      </c>
      <c r="N7" s="32"/>
      <c r="O7" s="23" t="str">
        <f>IF('Paste Sample Names Here'!K9="", "", 'Paste Sample Names Here'!K9)</f>
        <v/>
      </c>
      <c r="P7" s="24" t="str">
        <f>IF('Paste Sample Names Here'!J9="", "", 'Paste Sample Names Here'!J9)</f>
        <v/>
      </c>
      <c r="Q7" s="23" t="str">
        <f t="shared" si="1"/>
        <v/>
      </c>
      <c r="R7" s="23" t="str">
        <f>IF(P7="", "", Sheet3!H24)</f>
        <v/>
      </c>
      <c r="S7" s="23" t="str">
        <f ca="1">IF(P7="", "", OFFSET(Data!$C$210, 2*Sheet3!B67, 0))</f>
        <v/>
      </c>
      <c r="T7" s="23" t="str">
        <f ca="1">IF(P7="", "", OFFSET(Data!$E$210, 2*Sheet3!B67, 0))</f>
        <v/>
      </c>
      <c r="U7" s="23"/>
      <c r="V7" s="23" t="str">
        <f>IF('Paste Sample Names Here'!O9="","", 'Paste Sample Names Here'!O9)</f>
        <v/>
      </c>
      <c r="W7" s="24" t="str">
        <f>IF('Paste Sample Names Here'!N9="", "",'Paste Sample Names Here'!N9)</f>
        <v/>
      </c>
      <c r="X7" s="23" t="str">
        <f t="shared" si="2"/>
        <v/>
      </c>
      <c r="Y7" s="23" t="str">
        <f>IF(W7="", "", Sheet3!H24)</f>
        <v/>
      </c>
      <c r="Z7" s="23" t="str">
        <f ca="1">IF(W7="", "", OFFSET(Data!$C$211, 2*Sheet3!B67, 0))</f>
        <v/>
      </c>
      <c r="AA7" s="23" t="str">
        <f ca="1">IF(W7="", "", OFFSET(Data!$E$211, 2*Sheet3!B67, 0))</f>
        <v/>
      </c>
    </row>
    <row r="8" spans="1:30" x14ac:dyDescent="0.2">
      <c r="A8" s="23" t="s">
        <v>253</v>
      </c>
      <c r="B8" s="24" t="s">
        <v>259</v>
      </c>
      <c r="C8" s="23" t="s">
        <v>239</v>
      </c>
      <c r="D8" s="23" t="s">
        <v>172</v>
      </c>
      <c r="E8" s="23">
        <v>7.4029998779296875</v>
      </c>
      <c r="F8" s="23">
        <v>51351.211972280027</v>
      </c>
      <c r="G8" s="23"/>
      <c r="H8" s="23" t="str">
        <f>IF('Paste Sample Names Here'!G10="", "", 'Paste Sample Names Here'!G10)</f>
        <v/>
      </c>
      <c r="I8" s="24" t="str">
        <f>IF('Paste Sample Names Here'!F10="", "", 'Paste Sample Names Here'!F10)</f>
        <v/>
      </c>
      <c r="J8" s="23" t="str">
        <f t="shared" si="0"/>
        <v/>
      </c>
      <c r="K8" s="23" t="str">
        <f>IF(I8="", "", Sheet3!H25)</f>
        <v/>
      </c>
      <c r="L8" s="23" t="str">
        <f ca="1">IF(I8="", "", OFFSET(Data!$C$19, 2*Sheet3!B68, 0))</f>
        <v/>
      </c>
      <c r="M8" s="23" t="str">
        <f ca="1">IF(I8="", "", OFFSET(Data!$E$19, 2*Sheet3!B68, 0))</f>
        <v/>
      </c>
      <c r="N8" s="32"/>
      <c r="O8" s="23" t="str">
        <f>IF('Paste Sample Names Here'!K10="", "", 'Paste Sample Names Here'!K10)</f>
        <v/>
      </c>
      <c r="P8" s="24" t="str">
        <f>IF('Paste Sample Names Here'!J10="", "", 'Paste Sample Names Here'!J10)</f>
        <v/>
      </c>
      <c r="Q8" s="23" t="str">
        <f t="shared" si="1"/>
        <v/>
      </c>
      <c r="R8" s="23" t="str">
        <f>IF(P8="", "", Sheet3!H25)</f>
        <v/>
      </c>
      <c r="S8" s="23" t="str">
        <f ca="1">IF(P8="", "", OFFSET(Data!$C$210, 2*Sheet3!B68, 0))</f>
        <v/>
      </c>
      <c r="T8" s="23" t="str">
        <f ca="1">IF(P8="", "", OFFSET(Data!$E$210, 2*Sheet3!B68, 0))</f>
        <v/>
      </c>
      <c r="U8" s="23"/>
      <c r="V8" s="23" t="str">
        <f>IF('Paste Sample Names Here'!O10="","", 'Paste Sample Names Here'!O10)</f>
        <v/>
      </c>
      <c r="W8" s="24" t="str">
        <f>IF('Paste Sample Names Here'!N10="", "",'Paste Sample Names Here'!N10)</f>
        <v/>
      </c>
      <c r="X8" s="23" t="str">
        <f t="shared" si="2"/>
        <v/>
      </c>
      <c r="Y8" s="23" t="str">
        <f>IF(W8="", "", Sheet3!H25)</f>
        <v/>
      </c>
      <c r="Z8" s="23" t="str">
        <f ca="1">IF(W8="", "", OFFSET(Data!$C$211, 2*Sheet3!B68, 0))</f>
        <v/>
      </c>
      <c r="AA8" s="23" t="str">
        <f ca="1">IF(W8="", "", OFFSET(Data!$E$211, 2*Sheet3!B68, 0))</f>
        <v/>
      </c>
    </row>
    <row r="9" spans="1:30" x14ac:dyDescent="0.2">
      <c r="A9" s="23" t="s">
        <v>253</v>
      </c>
      <c r="B9" s="24" t="s">
        <v>260</v>
      </c>
      <c r="C9" s="23" t="s">
        <v>239</v>
      </c>
      <c r="D9" s="23" t="s">
        <v>173</v>
      </c>
      <c r="E9" s="23">
        <v>7.630000114440918</v>
      </c>
      <c r="F9" s="23">
        <v>44493.9325796142</v>
      </c>
      <c r="G9" s="23"/>
      <c r="H9" s="23" t="str">
        <f>IF('Paste Sample Names Here'!G11="", "", 'Paste Sample Names Here'!G11)</f>
        <v/>
      </c>
      <c r="I9" s="24" t="str">
        <f>IF('Paste Sample Names Here'!F11="", "", 'Paste Sample Names Here'!F11)</f>
        <v/>
      </c>
      <c r="J9" s="23" t="str">
        <f t="shared" si="0"/>
        <v/>
      </c>
      <c r="K9" s="23" t="str">
        <f>IF(I9="", "", Sheet3!H26)</f>
        <v/>
      </c>
      <c r="L9" s="23" t="str">
        <f ca="1">IF(I9="", "", OFFSET(Data!$C$19, 2*Sheet3!B69, 0))</f>
        <v/>
      </c>
      <c r="M9" s="23" t="str">
        <f ca="1">IF(I9="", "", OFFSET(Data!$E$19, 2*Sheet3!B69, 0))</f>
        <v/>
      </c>
      <c r="N9" s="32"/>
      <c r="O9" s="23" t="str">
        <f>IF('Paste Sample Names Here'!K11="", "", 'Paste Sample Names Here'!K11)</f>
        <v/>
      </c>
      <c r="P9" s="24" t="str">
        <f>IF('Paste Sample Names Here'!J11="", "", 'Paste Sample Names Here'!J11)</f>
        <v/>
      </c>
      <c r="Q9" s="23" t="str">
        <f t="shared" si="1"/>
        <v/>
      </c>
      <c r="R9" s="23" t="str">
        <f>IF(P9="", "", Sheet3!H26)</f>
        <v/>
      </c>
      <c r="S9" s="23" t="str">
        <f ca="1">IF(P9="", "", OFFSET(Data!$C$210, 2*Sheet3!B69, 0))</f>
        <v/>
      </c>
      <c r="T9" s="23" t="str">
        <f ca="1">IF(P9="", "", OFFSET(Data!$E$210, 2*Sheet3!B69, 0))</f>
        <v/>
      </c>
      <c r="U9" s="23"/>
      <c r="V9" s="23" t="str">
        <f>IF('Paste Sample Names Here'!O11="","", 'Paste Sample Names Here'!O11)</f>
        <v/>
      </c>
      <c r="W9" s="24" t="str">
        <f>IF('Paste Sample Names Here'!N11="", "",'Paste Sample Names Here'!N11)</f>
        <v/>
      </c>
      <c r="X9" s="23" t="str">
        <f t="shared" si="2"/>
        <v/>
      </c>
      <c r="Y9" s="23" t="str">
        <f>IF(W9="", "", Sheet3!H26)</f>
        <v/>
      </c>
      <c r="Z9" s="23" t="str">
        <f ca="1">IF(W9="", "", OFFSET(Data!$C$211, 2*Sheet3!B69, 0))</f>
        <v/>
      </c>
      <c r="AA9" s="23" t="str">
        <f ca="1">IF(W9="", "", OFFSET(Data!$E$211, 2*Sheet3!B69, 0))</f>
        <v/>
      </c>
    </row>
    <row r="10" spans="1:30" x14ac:dyDescent="0.2">
      <c r="A10" s="23" t="s">
        <v>253</v>
      </c>
      <c r="B10" s="24" t="s">
        <v>261</v>
      </c>
      <c r="C10" s="23" t="s">
        <v>239</v>
      </c>
      <c r="D10" s="23" t="s">
        <v>174</v>
      </c>
      <c r="E10" s="23">
        <v>7.4939999580383301</v>
      </c>
      <c r="F10" s="23">
        <v>48483.715497770325</v>
      </c>
      <c r="G10" s="23"/>
      <c r="H10" s="23" t="str">
        <f>IF('Paste Sample Names Here'!G12="", "", 'Paste Sample Names Here'!G12)</f>
        <v/>
      </c>
      <c r="I10" s="24" t="str">
        <f>IF('Paste Sample Names Here'!F12="", "", 'Paste Sample Names Here'!F12)</f>
        <v/>
      </c>
      <c r="J10" s="23" t="str">
        <f t="shared" si="0"/>
        <v/>
      </c>
      <c r="K10" s="23" t="str">
        <f>IF(I10="", "", Sheet3!H27)</f>
        <v/>
      </c>
      <c r="L10" s="23" t="str">
        <f ca="1">IF(I10="", "", OFFSET(Data!$C$19, 2*Sheet3!B70, 0))</f>
        <v/>
      </c>
      <c r="M10" s="23" t="str">
        <f ca="1">IF(I10="", "", OFFSET(Data!$E$19, 2*Sheet3!B70, 0))</f>
        <v/>
      </c>
      <c r="N10" s="32"/>
      <c r="O10" s="23" t="str">
        <f>IF('Paste Sample Names Here'!K12="", "", 'Paste Sample Names Here'!K12)</f>
        <v/>
      </c>
      <c r="P10" s="24" t="str">
        <f>IF('Paste Sample Names Here'!J12="", "", 'Paste Sample Names Here'!J12)</f>
        <v/>
      </c>
      <c r="Q10" s="23" t="str">
        <f t="shared" si="1"/>
        <v/>
      </c>
      <c r="R10" s="23" t="str">
        <f>IF(P10="", "", Sheet3!H27)</f>
        <v/>
      </c>
      <c r="S10" s="23" t="str">
        <f ca="1">IF(P10="", "", OFFSET(Data!$C$210, 2*Sheet3!B70, 0))</f>
        <v/>
      </c>
      <c r="T10" s="23" t="str">
        <f ca="1">IF(P10="", "", OFFSET(Data!$E$210, 2*Sheet3!B70, 0))</f>
        <v/>
      </c>
      <c r="U10" s="23"/>
      <c r="V10" s="23" t="str">
        <f>IF('Paste Sample Names Here'!O12="","", 'Paste Sample Names Here'!O12)</f>
        <v/>
      </c>
      <c r="W10" s="24" t="str">
        <f>IF('Paste Sample Names Here'!N12="", "",'Paste Sample Names Here'!N12)</f>
        <v/>
      </c>
      <c r="X10" s="23" t="str">
        <f t="shared" si="2"/>
        <v/>
      </c>
      <c r="Y10" s="23" t="str">
        <f>IF(W10="", "", Sheet3!H27)</f>
        <v/>
      </c>
      <c r="Z10" s="23" t="str">
        <f ca="1">IF(W10="", "", OFFSET(Data!$C$211, 2*Sheet3!B70, 0))</f>
        <v/>
      </c>
      <c r="AA10" s="23" t="str">
        <f ca="1">IF(W10="", "", OFFSET(Data!$E$211, 2*Sheet3!B70, 0))</f>
        <v/>
      </c>
    </row>
    <row r="11" spans="1:30" x14ac:dyDescent="0.2">
      <c r="A11" s="23" t="s">
        <v>253</v>
      </c>
      <c r="B11" s="24" t="s">
        <v>262</v>
      </c>
      <c r="C11" s="23" t="s">
        <v>239</v>
      </c>
      <c r="D11" s="23" t="s">
        <v>175</v>
      </c>
      <c r="E11" s="23">
        <v>6.4580001831054688</v>
      </c>
      <c r="F11" s="23">
        <v>93260.218293368933</v>
      </c>
      <c r="G11" s="23"/>
      <c r="H11" s="23" t="str">
        <f>IF('Paste Sample Names Here'!G13="", "", 'Paste Sample Names Here'!G13)</f>
        <v/>
      </c>
      <c r="I11" s="24" t="str">
        <f>IF('Paste Sample Names Here'!F13="", "", 'Paste Sample Names Here'!F13)</f>
        <v/>
      </c>
      <c r="J11" s="23" t="str">
        <f t="shared" si="0"/>
        <v/>
      </c>
      <c r="K11" s="23" t="str">
        <f>IF(I11="", "", Sheet3!H28)</f>
        <v/>
      </c>
      <c r="L11" s="23" t="str">
        <f ca="1">IF(I11="", "", OFFSET(Data!$C$19, 2*Sheet3!B71, 0))</f>
        <v/>
      </c>
      <c r="M11" s="23" t="str">
        <f ca="1">IF(I11="", "", OFFSET(Data!$E$19, 2*Sheet3!B71, 0))</f>
        <v/>
      </c>
      <c r="N11" s="32"/>
      <c r="O11" s="23" t="str">
        <f>IF('Paste Sample Names Here'!K13="", "", 'Paste Sample Names Here'!K13)</f>
        <v/>
      </c>
      <c r="P11" s="24" t="str">
        <f>IF('Paste Sample Names Here'!J13="", "", 'Paste Sample Names Here'!J13)</f>
        <v/>
      </c>
      <c r="Q11" s="23" t="str">
        <f t="shared" si="1"/>
        <v/>
      </c>
      <c r="R11" s="23" t="str">
        <f>IF(P11="", "", Sheet3!H28)</f>
        <v/>
      </c>
      <c r="S11" s="23" t="str">
        <f ca="1">IF(P11="", "", OFFSET(Data!$C$210, 2*Sheet3!B71, 0))</f>
        <v/>
      </c>
      <c r="T11" s="23" t="str">
        <f ca="1">IF(P11="", "", OFFSET(Data!$E$210, 2*Sheet3!B71, 0))</f>
        <v/>
      </c>
      <c r="U11" s="23"/>
      <c r="V11" s="23" t="str">
        <f>IF('Paste Sample Names Here'!O13="","", 'Paste Sample Names Here'!O13)</f>
        <v/>
      </c>
      <c r="W11" s="24" t="str">
        <f>IF('Paste Sample Names Here'!N13="", "",'Paste Sample Names Here'!N13)</f>
        <v/>
      </c>
      <c r="X11" s="23" t="str">
        <f t="shared" si="2"/>
        <v/>
      </c>
      <c r="Y11" s="23" t="str">
        <f>IF(W11="", "", Sheet3!H28)</f>
        <v/>
      </c>
      <c r="Z11" s="23" t="str">
        <f ca="1">IF(W11="", "", OFFSET(Data!$C$211, 2*Sheet3!B71, 0))</f>
        <v/>
      </c>
      <c r="AA11" s="23" t="str">
        <f ca="1">IF(W11="", "", OFFSET(Data!$E$211, 2*Sheet3!B71, 0))</f>
        <v/>
      </c>
    </row>
    <row r="12" spans="1:30" ht="15.75" customHeight="1" x14ac:dyDescent="0.2">
      <c r="A12" s="23" t="s">
        <v>253</v>
      </c>
      <c r="B12" s="24" t="s">
        <v>263</v>
      </c>
      <c r="C12" s="23" t="s">
        <v>239</v>
      </c>
      <c r="D12" s="23" t="s">
        <v>176</v>
      </c>
      <c r="E12" s="23">
        <v>7.1729998588562012</v>
      </c>
      <c r="F12" s="23">
        <v>59377.680607758281</v>
      </c>
      <c r="G12" s="23"/>
      <c r="H12" s="23" t="str">
        <f>IF('Paste Sample Names Here'!G14="", "", 'Paste Sample Names Here'!G14)</f>
        <v/>
      </c>
      <c r="I12" s="24" t="str">
        <f>IF('Paste Sample Names Here'!F14="", "", 'Paste Sample Names Here'!F14)</f>
        <v/>
      </c>
      <c r="J12" s="23" t="str">
        <f t="shared" si="0"/>
        <v/>
      </c>
      <c r="K12" s="23" t="str">
        <f>IF(I12="", "", Sheet3!H29)</f>
        <v/>
      </c>
      <c r="L12" s="23" t="str">
        <f ca="1">IF(I12="", "", OFFSET(Data!$C$19, 2*Sheet3!B72, 0))</f>
        <v/>
      </c>
      <c r="M12" s="23" t="str">
        <f ca="1">IF(I12="", "", OFFSET(Data!$E$19, 2*Sheet3!B72, 0))</f>
        <v/>
      </c>
      <c r="N12" s="32"/>
      <c r="O12" s="23" t="str">
        <f>IF('Paste Sample Names Here'!K14="", "", 'Paste Sample Names Here'!K14)</f>
        <v/>
      </c>
      <c r="P12" s="24" t="str">
        <f>IF('Paste Sample Names Here'!J14="", "", 'Paste Sample Names Here'!J14)</f>
        <v/>
      </c>
      <c r="Q12" s="23" t="str">
        <f t="shared" si="1"/>
        <v/>
      </c>
      <c r="R12" s="23" t="str">
        <f>IF(P12="", "", Sheet3!H29)</f>
        <v/>
      </c>
      <c r="S12" s="23" t="str">
        <f ca="1">IF(P12="", "", OFFSET(Data!$C$210, 2*Sheet3!B72, 0))</f>
        <v/>
      </c>
      <c r="T12" s="23" t="str">
        <f ca="1">IF(P12="", "", OFFSET(Data!$E$210, 2*Sheet3!B72, 0))</f>
        <v/>
      </c>
      <c r="U12" s="23"/>
      <c r="V12" s="23" t="str">
        <f>IF('Paste Sample Names Here'!O14="","", 'Paste Sample Names Here'!O14)</f>
        <v/>
      </c>
      <c r="W12" s="24" t="str">
        <f>IF('Paste Sample Names Here'!N14="", "",'Paste Sample Names Here'!N14)</f>
        <v/>
      </c>
      <c r="X12" s="23" t="str">
        <f t="shared" si="2"/>
        <v/>
      </c>
      <c r="Y12" s="23" t="str">
        <f>IF(W12="", "", Sheet3!H29)</f>
        <v/>
      </c>
      <c r="Z12" s="23" t="str">
        <f ca="1">IF(W12="", "", OFFSET(Data!$C$211, 2*Sheet3!B72, 0))</f>
        <v/>
      </c>
      <c r="AA12" s="23" t="str">
        <f ca="1">IF(W12="", "", OFFSET(Data!$E$211, 2*Sheet3!B72, 0))</f>
        <v/>
      </c>
    </row>
    <row r="13" spans="1:30" x14ac:dyDescent="0.2">
      <c r="A13" s="23" t="s">
        <v>253</v>
      </c>
      <c r="B13" s="24" t="s">
        <v>264</v>
      </c>
      <c r="C13" s="23" t="s">
        <v>239</v>
      </c>
      <c r="D13" s="23" t="s">
        <v>177</v>
      </c>
      <c r="E13" s="23">
        <v>8.0200004577636719</v>
      </c>
      <c r="F13" s="23">
        <v>34781.766279523872</v>
      </c>
      <c r="G13" s="23"/>
      <c r="H13" s="23" t="str">
        <f>IF('Paste Sample Names Here'!G15="", "", 'Paste Sample Names Here'!G15)</f>
        <v/>
      </c>
      <c r="I13" s="24" t="str">
        <f>IF('Paste Sample Names Here'!F15="", "", 'Paste Sample Names Here'!F15)</f>
        <v/>
      </c>
      <c r="J13" s="23" t="str">
        <f t="shared" si="0"/>
        <v/>
      </c>
      <c r="K13" s="23" t="str">
        <f>IF(I13="", "", Sheet3!H30)</f>
        <v/>
      </c>
      <c r="L13" s="23" t="str">
        <f ca="1">IF(I13="", "", OFFSET(Data!$C$19, 2*Sheet3!B73, 0))</f>
        <v/>
      </c>
      <c r="M13" s="23" t="str">
        <f ca="1">IF(I13="", "", OFFSET(Data!$E$19, 2*Sheet3!B73, 0))</f>
        <v/>
      </c>
      <c r="N13" s="32"/>
      <c r="O13" s="23" t="str">
        <f>IF('Paste Sample Names Here'!K15="", "", 'Paste Sample Names Here'!K15)</f>
        <v/>
      </c>
      <c r="P13" s="24" t="str">
        <f>IF('Paste Sample Names Here'!J15="", "", 'Paste Sample Names Here'!J15)</f>
        <v/>
      </c>
      <c r="Q13" s="23" t="str">
        <f t="shared" si="1"/>
        <v/>
      </c>
      <c r="R13" s="23" t="str">
        <f>IF(P13="", "", Sheet3!H30)</f>
        <v/>
      </c>
      <c r="S13" s="23" t="str">
        <f ca="1">IF(P13="", "", OFFSET(Data!$C$210, 2*Sheet3!B73, 0))</f>
        <v/>
      </c>
      <c r="T13" s="23" t="str">
        <f ca="1">IF(P13="", "", OFFSET(Data!$E$210, 2*Sheet3!B73, 0))</f>
        <v/>
      </c>
      <c r="U13" s="23"/>
      <c r="V13" s="23" t="str">
        <f>IF('Paste Sample Names Here'!O15="","", 'Paste Sample Names Here'!O15)</f>
        <v/>
      </c>
      <c r="W13" s="24" t="str">
        <f>IF('Paste Sample Names Here'!N15="", "",'Paste Sample Names Here'!N15)</f>
        <v/>
      </c>
      <c r="X13" s="23" t="str">
        <f t="shared" si="2"/>
        <v/>
      </c>
      <c r="Y13" s="23" t="str">
        <f>IF(W13="", "", Sheet3!H30)</f>
        <v/>
      </c>
      <c r="Z13" s="23" t="str">
        <f ca="1">IF(W13="", "", OFFSET(Data!$C$211, 2*Sheet3!B73, 0))</f>
        <v/>
      </c>
      <c r="AA13" s="23" t="str">
        <f ca="1">IF(W13="", "", OFFSET(Data!$E$211, 2*Sheet3!B73, 0))</f>
        <v/>
      </c>
    </row>
    <row r="14" spans="1:30" x14ac:dyDescent="0.2">
      <c r="A14" s="23" t="s">
        <v>253</v>
      </c>
      <c r="B14" s="24" t="s">
        <v>265</v>
      </c>
      <c r="C14" s="23" t="s">
        <v>239</v>
      </c>
      <c r="D14" s="23" t="s">
        <v>178</v>
      </c>
      <c r="E14" s="23">
        <v>9</v>
      </c>
      <c r="F14" s="23">
        <v>18733.026680769293</v>
      </c>
      <c r="G14" s="23"/>
      <c r="H14" s="23" t="str">
        <f>IF('Paste Sample Names Here'!G16="", "", 'Paste Sample Names Here'!G16)</f>
        <v/>
      </c>
      <c r="I14" s="24" t="str">
        <f>IF('Paste Sample Names Here'!F16="", "", 'Paste Sample Names Here'!F16)</f>
        <v/>
      </c>
      <c r="J14" s="23" t="str">
        <f t="shared" si="0"/>
        <v/>
      </c>
      <c r="K14" s="23" t="str">
        <f>IF(I14="", "", Sheet3!H31)</f>
        <v/>
      </c>
      <c r="L14" s="23" t="str">
        <f ca="1">IF(I14="", "", OFFSET(Data!$C$19, 2*Sheet3!B74, 0))</f>
        <v/>
      </c>
      <c r="M14" s="23" t="str">
        <f ca="1">IF(I14="", "", OFFSET(Data!$E$19, 2*Sheet3!B74, 0))</f>
        <v/>
      </c>
      <c r="N14" s="32"/>
      <c r="O14" s="23" t="str">
        <f>IF('Paste Sample Names Here'!K16="", "", 'Paste Sample Names Here'!K16)</f>
        <v/>
      </c>
      <c r="P14" s="24" t="str">
        <f>IF('Paste Sample Names Here'!J16="", "", 'Paste Sample Names Here'!J16)</f>
        <v/>
      </c>
      <c r="Q14" s="23" t="str">
        <f t="shared" si="1"/>
        <v/>
      </c>
      <c r="R14" s="23" t="str">
        <f>IF(P14="", "", Sheet3!H31)</f>
        <v/>
      </c>
      <c r="S14" s="23" t="str">
        <f ca="1">IF(P14="", "", OFFSET(Data!$C$210, 2*Sheet3!B74, 0))</f>
        <v/>
      </c>
      <c r="T14" s="23" t="str">
        <f ca="1">IF(P14="", "", OFFSET(Data!$E$210, 2*Sheet3!B74, 0))</f>
        <v/>
      </c>
      <c r="U14" s="23"/>
      <c r="V14" s="23" t="str">
        <f>IF('Paste Sample Names Here'!O16="","", 'Paste Sample Names Here'!O16)</f>
        <v/>
      </c>
      <c r="W14" s="24" t="str">
        <f>IF('Paste Sample Names Here'!N16="", "",'Paste Sample Names Here'!N16)</f>
        <v/>
      </c>
      <c r="X14" s="23" t="str">
        <f t="shared" si="2"/>
        <v/>
      </c>
      <c r="Y14" s="23" t="str">
        <f>IF(W14="", "", Sheet3!H31)</f>
        <v/>
      </c>
      <c r="Z14" s="23" t="str">
        <f ca="1">IF(W14="", "", OFFSET(Data!$C$211, 2*Sheet3!B74, 0))</f>
        <v/>
      </c>
      <c r="AA14" s="23" t="str">
        <f ca="1">IF(W14="", "", OFFSET(Data!$E$211, 2*Sheet3!B74, 0))</f>
        <v/>
      </c>
    </row>
    <row r="15" spans="1:30" x14ac:dyDescent="0.2">
      <c r="A15" s="23" t="s">
        <v>253</v>
      </c>
      <c r="B15" s="24" t="s">
        <v>266</v>
      </c>
      <c r="C15" s="23" t="s">
        <v>239</v>
      </c>
      <c r="D15" s="23" t="s">
        <v>179</v>
      </c>
      <c r="E15" s="23">
        <v>10.081000328063965</v>
      </c>
      <c r="F15" s="23">
        <v>9466.0106691115652</v>
      </c>
      <c r="G15" s="23"/>
      <c r="H15" s="23" t="str">
        <f>IF('Paste Sample Names Here'!G17="", "", 'Paste Sample Names Here'!G17)</f>
        <v/>
      </c>
      <c r="I15" s="24" t="str">
        <f>IF('Paste Sample Names Here'!F17="", "", 'Paste Sample Names Here'!F17)</f>
        <v/>
      </c>
      <c r="J15" s="23" t="str">
        <f t="shared" si="0"/>
        <v/>
      </c>
      <c r="K15" s="23" t="str">
        <f>IF(I15="", "", Sheet3!H32)</f>
        <v/>
      </c>
      <c r="L15" s="23" t="str">
        <f ca="1">IF(I15="", "", OFFSET(Data!$C$19, 2*Sheet3!B75, 0))</f>
        <v/>
      </c>
      <c r="M15" s="23" t="str">
        <f ca="1">IF(I15="", "", OFFSET(Data!$E$19, 2*Sheet3!B75, 0))</f>
        <v/>
      </c>
      <c r="N15" s="32"/>
      <c r="O15" s="23" t="str">
        <f>IF('Paste Sample Names Here'!K17="", "", 'Paste Sample Names Here'!K17)</f>
        <v/>
      </c>
      <c r="P15" s="24" t="str">
        <f>IF('Paste Sample Names Here'!J17="", "", 'Paste Sample Names Here'!J17)</f>
        <v/>
      </c>
      <c r="Q15" s="23" t="str">
        <f t="shared" si="1"/>
        <v/>
      </c>
      <c r="R15" s="23" t="str">
        <f>IF(P15="", "", Sheet3!H32)</f>
        <v/>
      </c>
      <c r="S15" s="23" t="str">
        <f ca="1">IF(P15="", "", OFFSET(Data!$C$210, 2*Sheet3!B75, 0))</f>
        <v/>
      </c>
      <c r="T15" s="23" t="str">
        <f ca="1">IF(P15="", "", OFFSET(Data!$E$210, 2*Sheet3!B75, 0))</f>
        <v/>
      </c>
      <c r="U15" s="23"/>
      <c r="V15" s="23" t="str">
        <f>IF('Paste Sample Names Here'!O17="","", 'Paste Sample Names Here'!O17)</f>
        <v/>
      </c>
      <c r="W15" s="24" t="str">
        <f>IF('Paste Sample Names Here'!N17="", "",'Paste Sample Names Here'!N17)</f>
        <v/>
      </c>
      <c r="X15" s="23" t="str">
        <f t="shared" si="2"/>
        <v/>
      </c>
      <c r="Y15" s="23" t="str">
        <f>IF(W15="", "", Sheet3!H32)</f>
        <v/>
      </c>
      <c r="Z15" s="23" t="str">
        <f ca="1">IF(W15="", "", OFFSET(Data!$C$211, 2*Sheet3!B75, 0))</f>
        <v/>
      </c>
      <c r="AA15" s="23" t="str">
        <f ca="1">IF(W15="", "", OFFSET(Data!$E$211, 2*Sheet3!B75, 0))</f>
        <v/>
      </c>
    </row>
    <row r="16" spans="1:30" x14ac:dyDescent="0.2">
      <c r="A16" s="23" t="s">
        <v>253</v>
      </c>
      <c r="B16" s="24" t="s">
        <v>267</v>
      </c>
      <c r="C16" s="23" t="s">
        <v>239</v>
      </c>
      <c r="D16" s="23" t="s">
        <v>180</v>
      </c>
      <c r="E16" s="23">
        <v>10.96399974822998</v>
      </c>
      <c r="F16" s="23">
        <v>5420.3021248258119</v>
      </c>
      <c r="G16" s="23"/>
      <c r="H16" s="23" t="str">
        <f>IF('Paste Sample Names Here'!G18="", "", 'Paste Sample Names Here'!G18)</f>
        <v/>
      </c>
      <c r="I16" s="24" t="str">
        <f>IF('Paste Sample Names Here'!F18="", "", 'Paste Sample Names Here'!F18)</f>
        <v/>
      </c>
      <c r="J16" s="23" t="str">
        <f t="shared" si="0"/>
        <v/>
      </c>
      <c r="K16" s="23" t="str">
        <f>IF(I16="", "", Sheet3!H33)</f>
        <v/>
      </c>
      <c r="L16" s="23" t="str">
        <f ca="1">IF(I16="", "", OFFSET(Data!$C$19, 2*Sheet3!B76, 0))</f>
        <v/>
      </c>
      <c r="M16" s="23" t="str">
        <f ca="1">IF(I16="", "", OFFSET(Data!$E$19, 2*Sheet3!B76, 0))</f>
        <v/>
      </c>
      <c r="N16" s="32"/>
      <c r="O16" s="23" t="str">
        <f>IF('Paste Sample Names Here'!K18="", "", 'Paste Sample Names Here'!K18)</f>
        <v/>
      </c>
      <c r="P16" s="24" t="str">
        <f>IF('Paste Sample Names Here'!J18="", "", 'Paste Sample Names Here'!J18)</f>
        <v/>
      </c>
      <c r="Q16" s="23" t="str">
        <f t="shared" si="1"/>
        <v/>
      </c>
      <c r="R16" s="23" t="str">
        <f>IF(P16="", "", Sheet3!H33)</f>
        <v/>
      </c>
      <c r="S16" s="23" t="str">
        <f ca="1">IF(P16="", "", OFFSET(Data!$C$210, 2*Sheet3!B76, 0))</f>
        <v/>
      </c>
      <c r="T16" s="23" t="str">
        <f ca="1">IF(P16="", "", OFFSET(Data!$E$210, 2*Sheet3!B76, 0))</f>
        <v/>
      </c>
      <c r="U16" s="23"/>
      <c r="V16" s="23" t="str">
        <f>IF('Paste Sample Names Here'!O18="","", 'Paste Sample Names Here'!O18)</f>
        <v/>
      </c>
      <c r="W16" s="24" t="str">
        <f>IF('Paste Sample Names Here'!N18="", "",'Paste Sample Names Here'!N18)</f>
        <v/>
      </c>
      <c r="X16" s="23" t="str">
        <f t="shared" si="2"/>
        <v/>
      </c>
      <c r="Y16" s="23" t="str">
        <f>IF(W16="", "", Sheet3!H33)</f>
        <v/>
      </c>
      <c r="Z16" s="23" t="str">
        <f ca="1">IF(W16="", "", OFFSET(Data!$C$211, 2*Sheet3!B76, 0))</f>
        <v/>
      </c>
      <c r="AA16" s="23" t="str">
        <f ca="1">IF(W16="", "", OFFSET(Data!$E$211, 2*Sheet3!B76, 0))</f>
        <v/>
      </c>
    </row>
    <row r="17" spans="1:27" x14ac:dyDescent="0.2">
      <c r="A17" s="23" t="s">
        <v>253</v>
      </c>
      <c r="B17" s="24" t="s">
        <v>268</v>
      </c>
      <c r="C17" s="23" t="s">
        <v>239</v>
      </c>
      <c r="D17" s="23" t="s">
        <v>181</v>
      </c>
      <c r="E17" s="23">
        <v>8.2290000915527344</v>
      </c>
      <c r="F17" s="23">
        <v>30481.617061498924</v>
      </c>
      <c r="G17" s="23"/>
      <c r="H17" s="23" t="str">
        <f>IF('Paste Sample Names Here'!G19="", "", 'Paste Sample Names Here'!G19)</f>
        <v/>
      </c>
      <c r="I17" s="24" t="str">
        <f>IF('Paste Sample Names Here'!F19="", "", 'Paste Sample Names Here'!F19)</f>
        <v/>
      </c>
      <c r="J17" s="23" t="str">
        <f t="shared" si="0"/>
        <v/>
      </c>
      <c r="K17" s="23" t="str">
        <f>IF(I17="", "", Sheet3!H34)</f>
        <v/>
      </c>
      <c r="L17" s="23" t="str">
        <f ca="1">IF(I17="", "", OFFSET(Data!$C$19, 2*Sheet3!B77, 0))</f>
        <v/>
      </c>
      <c r="M17" s="23" t="str">
        <f ca="1">IF(I17="", "", OFFSET(Data!$E$19, 2*Sheet3!B77, 0))</f>
        <v/>
      </c>
      <c r="N17" s="32"/>
      <c r="O17" s="23" t="str">
        <f>IF('Paste Sample Names Here'!K19="", "", 'Paste Sample Names Here'!K19)</f>
        <v/>
      </c>
      <c r="P17" s="24" t="str">
        <f>IF('Paste Sample Names Here'!J19="", "", 'Paste Sample Names Here'!J19)</f>
        <v/>
      </c>
      <c r="Q17" s="23" t="str">
        <f t="shared" si="1"/>
        <v/>
      </c>
      <c r="R17" s="23" t="str">
        <f>IF(P17="", "", Sheet3!H34)</f>
        <v/>
      </c>
      <c r="S17" s="23" t="str">
        <f ca="1">IF(P17="", "", OFFSET(Data!$C$210, 2*Sheet3!B77, 0))</f>
        <v/>
      </c>
      <c r="T17" s="23" t="str">
        <f ca="1">IF(P17="", "", OFFSET(Data!$E$210, 2*Sheet3!B77, 0))</f>
        <v/>
      </c>
      <c r="U17" s="23"/>
      <c r="V17" s="23" t="str">
        <f>IF('Paste Sample Names Here'!O19="","", 'Paste Sample Names Here'!O19)</f>
        <v/>
      </c>
      <c r="W17" s="24" t="str">
        <f>IF('Paste Sample Names Here'!N19="", "",'Paste Sample Names Here'!N19)</f>
        <v/>
      </c>
      <c r="X17" s="23" t="str">
        <f t="shared" si="2"/>
        <v/>
      </c>
      <c r="Y17" s="23" t="str">
        <f>IF(W17="", "", Sheet3!H34)</f>
        <v/>
      </c>
      <c r="Z17" s="23" t="str">
        <f ca="1">IF(W17="", "", OFFSET(Data!$C$211, 2*Sheet3!B77, 0))</f>
        <v/>
      </c>
      <c r="AA17" s="23" t="str">
        <f ca="1">IF(W17="", "", OFFSET(Data!$E$211, 2*Sheet3!B77, 0))</f>
        <v/>
      </c>
    </row>
    <row r="18" spans="1:27" ht="15.75" customHeight="1" x14ac:dyDescent="0.2">
      <c r="A18" s="23" t="s">
        <v>253</v>
      </c>
      <c r="B18" s="24" t="s">
        <v>269</v>
      </c>
      <c r="C18" s="23" t="s">
        <v>239</v>
      </c>
      <c r="D18" s="23" t="s">
        <v>182</v>
      </c>
      <c r="E18" s="23">
        <v>7.9710001945495605</v>
      </c>
      <c r="F18" s="23">
        <v>35874.750964459585</v>
      </c>
      <c r="G18" s="23"/>
      <c r="H18" s="23" t="str">
        <f>IF('Paste Sample Names Here'!G20="", "", 'Paste Sample Names Here'!G20)</f>
        <v/>
      </c>
      <c r="I18" s="24" t="str">
        <f>IF('Paste Sample Names Here'!F20="", "", 'Paste Sample Names Here'!F20)</f>
        <v/>
      </c>
      <c r="J18" s="23" t="str">
        <f t="shared" si="0"/>
        <v/>
      </c>
      <c r="K18" s="23" t="str">
        <f>IF(I18="", "", Sheet3!H35)</f>
        <v/>
      </c>
      <c r="L18" s="23" t="str">
        <f ca="1">IF(I18="", "", OFFSET(Data!$C$19, 2*Sheet3!B78, 0))</f>
        <v/>
      </c>
      <c r="M18" s="23" t="str">
        <f ca="1">IF(I18="", "", OFFSET(Data!$E$19, 2*Sheet3!B78, 0))</f>
        <v/>
      </c>
      <c r="N18" s="32"/>
      <c r="O18" s="23" t="str">
        <f>IF('Paste Sample Names Here'!K20="", "", 'Paste Sample Names Here'!K20)</f>
        <v/>
      </c>
      <c r="P18" s="24" t="str">
        <f>IF('Paste Sample Names Here'!J20="", "", 'Paste Sample Names Here'!J20)</f>
        <v/>
      </c>
      <c r="Q18" s="23" t="str">
        <f t="shared" si="1"/>
        <v/>
      </c>
      <c r="R18" s="23" t="str">
        <f>IF(P18="", "", Sheet3!H35)</f>
        <v/>
      </c>
      <c r="S18" s="23" t="str">
        <f ca="1">IF(P18="", "", OFFSET(Data!$C$210, 2*Sheet3!B78, 0))</f>
        <v/>
      </c>
      <c r="T18" s="23" t="str">
        <f ca="1">IF(P18="", "", OFFSET(Data!$E$210, 2*Sheet3!B78, 0))</f>
        <v/>
      </c>
      <c r="U18" s="23"/>
      <c r="V18" s="23" t="str">
        <f>IF('Paste Sample Names Here'!O20="","", 'Paste Sample Names Here'!O20)</f>
        <v/>
      </c>
      <c r="W18" s="24" t="str">
        <f>IF('Paste Sample Names Here'!N20="", "",'Paste Sample Names Here'!N20)</f>
        <v/>
      </c>
      <c r="X18" s="23" t="str">
        <f t="shared" si="2"/>
        <v/>
      </c>
      <c r="Y18" s="23" t="str">
        <f>IF(W18="", "", Sheet3!H35)</f>
        <v/>
      </c>
      <c r="Z18" s="23" t="str">
        <f ca="1">IF(W18="", "", OFFSET(Data!$C$211, 2*Sheet3!B78, 0))</f>
        <v/>
      </c>
      <c r="AA18" s="23" t="str">
        <f ca="1">IF(W18="", "", OFFSET(Data!$E$211, 2*Sheet3!B78, 0))</f>
        <v/>
      </c>
    </row>
    <row r="19" spans="1:27" x14ac:dyDescent="0.2">
      <c r="A19" s="23" t="s">
        <v>253</v>
      </c>
      <c r="B19" s="24" t="s">
        <v>270</v>
      </c>
      <c r="C19" s="23" t="s">
        <v>239</v>
      </c>
      <c r="D19" s="23" t="s">
        <v>183</v>
      </c>
      <c r="E19" s="23">
        <v>7.6579999923706055</v>
      </c>
      <c r="F19" s="23">
        <v>43714.189582139581</v>
      </c>
      <c r="G19" s="23"/>
      <c r="H19" s="23" t="str">
        <f>IF('Paste Sample Names Here'!G21="", "", 'Paste Sample Names Here'!G21)</f>
        <v/>
      </c>
      <c r="I19" s="24" t="str">
        <f>IF('Paste Sample Names Here'!F21="", "", 'Paste Sample Names Here'!F21)</f>
        <v/>
      </c>
      <c r="J19" s="23" t="str">
        <f t="shared" si="0"/>
        <v/>
      </c>
      <c r="K19" s="23" t="str">
        <f>IF(I19="", "", Sheet3!H36)</f>
        <v/>
      </c>
      <c r="L19" s="23" t="str">
        <f ca="1">IF(I19="", "", OFFSET(Data!$C$19, 2*Sheet3!B79, 0))</f>
        <v/>
      </c>
      <c r="M19" s="23" t="str">
        <f ca="1">IF(I19="", "", OFFSET(Data!$E$19, 2*Sheet3!B79, 0))</f>
        <v/>
      </c>
      <c r="N19" s="32"/>
      <c r="O19" s="23" t="str">
        <f>IF('Paste Sample Names Here'!K21="", "", 'Paste Sample Names Here'!K21)</f>
        <v/>
      </c>
      <c r="P19" s="24" t="str">
        <f>IF('Paste Sample Names Here'!J21="", "", 'Paste Sample Names Here'!J21)</f>
        <v/>
      </c>
      <c r="Q19" s="23" t="str">
        <f t="shared" si="1"/>
        <v/>
      </c>
      <c r="R19" s="23" t="str">
        <f>IF(P19="", "", Sheet3!H36)</f>
        <v/>
      </c>
      <c r="S19" s="23" t="str">
        <f ca="1">IF(P19="", "", OFFSET(Data!$C$210, 2*Sheet3!B79, 0))</f>
        <v/>
      </c>
      <c r="T19" s="23" t="str">
        <f ca="1">IF(P19="", "", OFFSET(Data!$E$210, 2*Sheet3!B79, 0))</f>
        <v/>
      </c>
      <c r="U19" s="23"/>
      <c r="V19" s="23" t="str">
        <f>IF('Paste Sample Names Here'!O21="","", 'Paste Sample Names Here'!O21)</f>
        <v/>
      </c>
      <c r="W19" s="24" t="str">
        <f>IF('Paste Sample Names Here'!N21="", "",'Paste Sample Names Here'!N21)</f>
        <v/>
      </c>
      <c r="X19" s="23" t="str">
        <f t="shared" si="2"/>
        <v/>
      </c>
      <c r="Y19" s="23" t="str">
        <f>IF(W19="", "", Sheet3!H36)</f>
        <v/>
      </c>
      <c r="Z19" s="23" t="str">
        <f ca="1">IF(W19="", "", OFFSET(Data!$C$211, 2*Sheet3!B79, 0))</f>
        <v/>
      </c>
      <c r="AA19" s="23" t="str">
        <f ca="1">IF(W19="", "", OFFSET(Data!$E$211, 2*Sheet3!B79, 0))</f>
        <v/>
      </c>
    </row>
    <row r="20" spans="1:27" x14ac:dyDescent="0.2">
      <c r="A20" s="23" t="s">
        <v>253</v>
      </c>
      <c r="B20" s="24" t="s">
        <v>271</v>
      </c>
      <c r="C20" s="23" t="s">
        <v>239</v>
      </c>
      <c r="D20" s="23" t="s">
        <v>184</v>
      </c>
      <c r="E20" s="23">
        <v>7.4219999313354492</v>
      </c>
      <c r="F20" s="23">
        <v>50738.817834835652</v>
      </c>
      <c r="G20" s="23"/>
      <c r="H20" s="23" t="str">
        <f>IF('Paste Sample Names Here'!G22="", "", 'Paste Sample Names Here'!G22)</f>
        <v/>
      </c>
      <c r="I20" s="24" t="str">
        <f>IF('Paste Sample Names Here'!F22="", "", 'Paste Sample Names Here'!F22)</f>
        <v/>
      </c>
      <c r="J20" s="23" t="str">
        <f t="shared" si="0"/>
        <v/>
      </c>
      <c r="K20" s="23" t="str">
        <f>IF(I20="", "", Sheet3!H37)</f>
        <v/>
      </c>
      <c r="L20" s="23" t="str">
        <f ca="1">IF(I20="", "", OFFSET(Data!$C$19, 2*Sheet3!B80, 0))</f>
        <v/>
      </c>
      <c r="M20" s="23" t="str">
        <f ca="1">IF(I20="", "", OFFSET(Data!$E$19, 2*Sheet3!B80, 0))</f>
        <v/>
      </c>
      <c r="N20" s="32"/>
      <c r="O20" s="23" t="str">
        <f>IF('Paste Sample Names Here'!K22="", "", 'Paste Sample Names Here'!K22)</f>
        <v/>
      </c>
      <c r="P20" s="24" t="str">
        <f>IF('Paste Sample Names Here'!J22="", "", 'Paste Sample Names Here'!J22)</f>
        <v/>
      </c>
      <c r="Q20" s="23" t="str">
        <f t="shared" si="1"/>
        <v/>
      </c>
      <c r="R20" s="23" t="str">
        <f>IF(P20="", "", Sheet3!H37)</f>
        <v/>
      </c>
      <c r="S20" s="23" t="str">
        <f ca="1">IF(P20="", "", OFFSET(Data!$C$210, 2*Sheet3!B80, 0))</f>
        <v/>
      </c>
      <c r="T20" s="23" t="str">
        <f ca="1">IF(P20="", "", OFFSET(Data!$E$210, 2*Sheet3!B80, 0))</f>
        <v/>
      </c>
      <c r="U20" s="23"/>
      <c r="V20" s="23" t="str">
        <f>IF('Paste Sample Names Here'!O22="","", 'Paste Sample Names Here'!O22)</f>
        <v/>
      </c>
      <c r="W20" s="24" t="str">
        <f>IF('Paste Sample Names Here'!N22="", "",'Paste Sample Names Here'!N22)</f>
        <v/>
      </c>
      <c r="X20" s="23" t="str">
        <f t="shared" si="2"/>
        <v/>
      </c>
      <c r="Y20" s="23" t="str">
        <f>IF(W20="", "", Sheet3!H37)</f>
        <v/>
      </c>
      <c r="Z20" s="23" t="str">
        <f ca="1">IF(W20="", "", OFFSET(Data!$C$211, 2*Sheet3!B80, 0))</f>
        <v/>
      </c>
      <c r="AA20" s="23" t="str">
        <f ca="1">IF(W20="", "", OFFSET(Data!$E$211, 2*Sheet3!B80, 0))</f>
        <v/>
      </c>
    </row>
    <row r="21" spans="1:27" x14ac:dyDescent="0.2">
      <c r="A21" s="23" t="s">
        <v>253</v>
      </c>
      <c r="B21" s="24" t="s">
        <v>272</v>
      </c>
      <c r="C21" s="23" t="s">
        <v>239</v>
      </c>
      <c r="D21" s="23" t="s">
        <v>185</v>
      </c>
      <c r="E21" s="23">
        <v>10.314000129699707</v>
      </c>
      <c r="F21" s="23">
        <v>8170.9364531441806</v>
      </c>
      <c r="G21" s="23"/>
      <c r="H21" s="23" t="str">
        <f>IF('Paste Sample Names Here'!G23="", "", 'Paste Sample Names Here'!G23)</f>
        <v/>
      </c>
      <c r="I21" s="24" t="str">
        <f>IF('Paste Sample Names Here'!F23="", "", 'Paste Sample Names Here'!F23)</f>
        <v/>
      </c>
      <c r="J21" s="23" t="str">
        <f t="shared" si="0"/>
        <v/>
      </c>
      <c r="K21" s="23" t="str">
        <f>IF(I21="", "", Sheet3!H38)</f>
        <v/>
      </c>
      <c r="L21" s="23" t="str">
        <f ca="1">IF(I21="", "", OFFSET(Data!$C$19, 2*Sheet3!B81, 0))</f>
        <v/>
      </c>
      <c r="M21" s="23" t="str">
        <f ca="1">IF(I21="", "", OFFSET(Data!$E$19, 2*Sheet3!B81, 0))</f>
        <v/>
      </c>
      <c r="N21" s="32"/>
      <c r="O21" s="23" t="str">
        <f>IF('Paste Sample Names Here'!K23="", "", 'Paste Sample Names Here'!K23)</f>
        <v/>
      </c>
      <c r="P21" s="24" t="str">
        <f>IF('Paste Sample Names Here'!J23="", "", 'Paste Sample Names Here'!J23)</f>
        <v/>
      </c>
      <c r="Q21" s="23" t="str">
        <f t="shared" si="1"/>
        <v/>
      </c>
      <c r="R21" s="23" t="str">
        <f>IF(P21="", "", Sheet3!H38)</f>
        <v/>
      </c>
      <c r="S21" s="23" t="str">
        <f ca="1">IF(P21="", "", OFFSET(Data!$C$210, 2*Sheet3!B81, 0))</f>
        <v/>
      </c>
      <c r="T21" s="23" t="str">
        <f ca="1">IF(P21="", "", OFFSET(Data!$E$210, 2*Sheet3!B81, 0))</f>
        <v/>
      </c>
      <c r="U21" s="23"/>
      <c r="V21" s="23" t="str">
        <f>IF('Paste Sample Names Here'!O23="","", 'Paste Sample Names Here'!O23)</f>
        <v/>
      </c>
      <c r="W21" s="24" t="str">
        <f>IF('Paste Sample Names Here'!N23="", "",'Paste Sample Names Here'!N23)</f>
        <v/>
      </c>
      <c r="X21" s="23" t="str">
        <f t="shared" si="2"/>
        <v/>
      </c>
      <c r="Y21" s="23" t="str">
        <f>IF(W21="", "", Sheet3!H38)</f>
        <v/>
      </c>
      <c r="Z21" s="23" t="str">
        <f ca="1">IF(W21="", "", OFFSET(Data!$C$211, 2*Sheet3!B81, 0))</f>
        <v/>
      </c>
      <c r="AA21" s="23" t="str">
        <f ca="1">IF(W21="", "", OFFSET(Data!$E$211, 2*Sheet3!B81, 0))</f>
        <v/>
      </c>
    </row>
    <row r="22" spans="1:27" x14ac:dyDescent="0.2">
      <c r="A22" s="23" t="s">
        <v>253</v>
      </c>
      <c r="B22" s="24" t="s">
        <v>273</v>
      </c>
      <c r="C22" s="23" t="s">
        <v>239</v>
      </c>
      <c r="D22" s="23" t="s">
        <v>186</v>
      </c>
      <c r="E22" s="23">
        <v>7.5</v>
      </c>
      <c r="F22" s="23">
        <v>48300.376088531601</v>
      </c>
      <c r="G22" s="23"/>
      <c r="H22" s="23" t="str">
        <f>IF('Paste Sample Names Here'!G24="", "", 'Paste Sample Names Here'!G24)</f>
        <v/>
      </c>
      <c r="I22" s="24" t="str">
        <f>IF('Paste Sample Names Here'!F24="", "", 'Paste Sample Names Here'!F24)</f>
        <v/>
      </c>
      <c r="J22" s="23" t="str">
        <f t="shared" si="0"/>
        <v/>
      </c>
      <c r="K22" s="23" t="str">
        <f>IF(I22="", "", Sheet3!H39)</f>
        <v/>
      </c>
      <c r="L22" s="23" t="str">
        <f ca="1">IF(I22="", "", OFFSET(Data!$C$19, 2*Sheet3!B82, 0))</f>
        <v/>
      </c>
      <c r="M22" s="23" t="str">
        <f ca="1">IF(I22="", "", OFFSET(Data!$E$19, 2*Sheet3!B82, 0))</f>
        <v/>
      </c>
      <c r="N22" s="32"/>
      <c r="O22" s="23" t="str">
        <f>IF('Paste Sample Names Here'!K24="", "", 'Paste Sample Names Here'!K24)</f>
        <v/>
      </c>
      <c r="P22" s="24" t="str">
        <f>IF('Paste Sample Names Here'!J24="", "", 'Paste Sample Names Here'!J24)</f>
        <v/>
      </c>
      <c r="Q22" s="23" t="str">
        <f t="shared" si="1"/>
        <v/>
      </c>
      <c r="R22" s="23" t="str">
        <f>IF(P22="", "", Sheet3!H39)</f>
        <v/>
      </c>
      <c r="S22" s="23" t="str">
        <f ca="1">IF(P22="", "", OFFSET(Data!$C$210, 2*Sheet3!B82, 0))</f>
        <v/>
      </c>
      <c r="T22" s="23" t="str">
        <f ca="1">IF(P22="", "", OFFSET(Data!$E$210, 2*Sheet3!B82, 0))</f>
        <v/>
      </c>
      <c r="U22" s="23"/>
      <c r="V22" s="23" t="str">
        <f>IF('Paste Sample Names Here'!O24="","", 'Paste Sample Names Here'!O24)</f>
        <v/>
      </c>
      <c r="W22" s="24" t="str">
        <f>IF('Paste Sample Names Here'!N24="", "",'Paste Sample Names Here'!N24)</f>
        <v/>
      </c>
      <c r="X22" s="23" t="str">
        <f t="shared" si="2"/>
        <v/>
      </c>
      <c r="Y22" s="23" t="str">
        <f>IF(W22="", "", Sheet3!H39)</f>
        <v/>
      </c>
      <c r="Z22" s="23" t="str">
        <f ca="1">IF(W22="", "", OFFSET(Data!$C$211, 2*Sheet3!B82, 0))</f>
        <v/>
      </c>
      <c r="AA22" s="23" t="str">
        <f ca="1">IF(W22="", "", OFFSET(Data!$E$211, 2*Sheet3!B82, 0))</f>
        <v/>
      </c>
    </row>
    <row r="23" spans="1:27" x14ac:dyDescent="0.2">
      <c r="A23" s="23" t="s">
        <v>253</v>
      </c>
      <c r="B23" s="24" t="s">
        <v>274</v>
      </c>
      <c r="C23" s="23" t="s">
        <v>239</v>
      </c>
      <c r="D23" s="23" t="s">
        <v>187</v>
      </c>
      <c r="E23" s="23">
        <v>6.9899997711181641</v>
      </c>
      <c r="F23" s="23">
        <v>66651.057710181645</v>
      </c>
      <c r="G23" s="23"/>
      <c r="H23" s="23" t="str">
        <f>IF('Paste Sample Names Here'!G25="", "", 'Paste Sample Names Here'!G25)</f>
        <v/>
      </c>
      <c r="I23" s="24" t="str">
        <f>IF('Paste Sample Names Here'!F25="", "", 'Paste Sample Names Here'!F25)</f>
        <v/>
      </c>
      <c r="J23" s="23" t="str">
        <f t="shared" si="0"/>
        <v/>
      </c>
      <c r="K23" s="23" t="str">
        <f>IF(I23="", "", Sheet3!H40)</f>
        <v/>
      </c>
      <c r="L23" s="23" t="str">
        <f ca="1">IF(I23="", "", OFFSET(Data!$C$19, 2*Sheet3!B83, 0))</f>
        <v/>
      </c>
      <c r="M23" s="23" t="str">
        <f ca="1">IF(I23="", "", OFFSET(Data!$E$19, 2*Sheet3!B83, 0))</f>
        <v/>
      </c>
      <c r="N23" s="32"/>
      <c r="O23" s="23" t="str">
        <f>IF('Paste Sample Names Here'!K25="", "", 'Paste Sample Names Here'!K25)</f>
        <v/>
      </c>
      <c r="P23" s="24" t="str">
        <f>IF('Paste Sample Names Here'!J25="", "", 'Paste Sample Names Here'!J25)</f>
        <v/>
      </c>
      <c r="Q23" s="23" t="str">
        <f t="shared" si="1"/>
        <v/>
      </c>
      <c r="R23" s="23" t="str">
        <f>IF(P23="", "", Sheet3!H40)</f>
        <v/>
      </c>
      <c r="S23" s="23" t="str">
        <f ca="1">IF(P23="", "", OFFSET(Data!$C$210, 2*Sheet3!B83, 0))</f>
        <v/>
      </c>
      <c r="T23" s="23" t="str">
        <f ca="1">IF(P23="", "", OFFSET(Data!$E$210, 2*Sheet3!B83, 0))</f>
        <v/>
      </c>
      <c r="U23" s="23"/>
      <c r="V23" s="23" t="str">
        <f>IF('Paste Sample Names Here'!O25="","", 'Paste Sample Names Here'!O25)</f>
        <v/>
      </c>
      <c r="W23" s="24" t="str">
        <f>IF('Paste Sample Names Here'!N25="", "",'Paste Sample Names Here'!N25)</f>
        <v/>
      </c>
      <c r="X23" s="23" t="str">
        <f t="shared" si="2"/>
        <v/>
      </c>
      <c r="Y23" s="23" t="str">
        <f>IF(W23="", "", Sheet3!H40)</f>
        <v/>
      </c>
      <c r="Z23" s="23" t="str">
        <f ca="1">IF(W23="", "", OFFSET(Data!$C$211, 2*Sheet3!B83, 0))</f>
        <v/>
      </c>
      <c r="AA23" s="23" t="str">
        <f ca="1">IF(W23="", "", OFFSET(Data!$E$211, 2*Sheet3!B83, 0))</f>
        <v/>
      </c>
    </row>
    <row r="24" spans="1:27" x14ac:dyDescent="0.2">
      <c r="A24" s="23" t="s">
        <v>253</v>
      </c>
      <c r="B24" s="24" t="s">
        <v>275</v>
      </c>
      <c r="C24" s="23" t="s">
        <v>239</v>
      </c>
      <c r="D24" s="23" t="s">
        <v>188</v>
      </c>
      <c r="E24" s="23">
        <v>7.750999927520752</v>
      </c>
      <c r="F24" s="23">
        <v>41221.065216006631</v>
      </c>
      <c r="G24" s="23"/>
      <c r="H24" s="23" t="str">
        <f>IF('Paste Sample Names Here'!G26="", "", 'Paste Sample Names Here'!G26)</f>
        <v/>
      </c>
      <c r="I24" s="24" t="str">
        <f>IF('Paste Sample Names Here'!F26="", "", 'Paste Sample Names Here'!F26)</f>
        <v/>
      </c>
      <c r="J24" s="23" t="str">
        <f t="shared" si="0"/>
        <v/>
      </c>
      <c r="K24" s="23" t="str">
        <f>IF(I24="", "", Sheet3!H41)</f>
        <v/>
      </c>
      <c r="L24" s="23" t="str">
        <f ca="1">IF(I24="", "", OFFSET(Data!$C$19, 2*Sheet3!B84, 0))</f>
        <v/>
      </c>
      <c r="M24" s="23" t="str">
        <f ca="1">IF(I24="", "", OFFSET(Data!$E$19, 2*Sheet3!B84, 0))</f>
        <v/>
      </c>
      <c r="N24" s="32"/>
      <c r="O24" s="23" t="str">
        <f>IF('Paste Sample Names Here'!K26="", "", 'Paste Sample Names Here'!K26)</f>
        <v/>
      </c>
      <c r="P24" s="24" t="str">
        <f>IF('Paste Sample Names Here'!J26="", "", 'Paste Sample Names Here'!J26)</f>
        <v/>
      </c>
      <c r="Q24" s="23" t="str">
        <f t="shared" si="1"/>
        <v/>
      </c>
      <c r="R24" s="23" t="str">
        <f>IF(P24="", "", Sheet3!H41)</f>
        <v/>
      </c>
      <c r="S24" s="23" t="str">
        <f ca="1">IF(P24="", "", OFFSET(Data!$C$210, 2*Sheet3!B84, 0))</f>
        <v/>
      </c>
      <c r="T24" s="23" t="str">
        <f ca="1">IF(P24="", "", OFFSET(Data!$E$210, 2*Sheet3!B84, 0))</f>
        <v/>
      </c>
      <c r="U24" s="23"/>
      <c r="V24" s="23" t="str">
        <f>IF('Paste Sample Names Here'!O26="","", 'Paste Sample Names Here'!O26)</f>
        <v/>
      </c>
      <c r="W24" s="24" t="str">
        <f>IF('Paste Sample Names Here'!N26="", "",'Paste Sample Names Here'!N26)</f>
        <v/>
      </c>
      <c r="X24" s="23" t="str">
        <f t="shared" si="2"/>
        <v/>
      </c>
      <c r="Y24" s="23" t="str">
        <f>IF(W24="", "", Sheet3!H41)</f>
        <v/>
      </c>
      <c r="Z24" s="23" t="str">
        <f ca="1">IF(W24="", "", OFFSET(Data!$C$211, 2*Sheet3!B84, 0))</f>
        <v/>
      </c>
      <c r="AA24" s="23" t="str">
        <f ca="1">IF(W24="", "", OFFSET(Data!$E$211, 2*Sheet3!B84, 0))</f>
        <v/>
      </c>
    </row>
    <row r="25" spans="1:27" x14ac:dyDescent="0.2">
      <c r="A25" s="23" t="s">
        <v>253</v>
      </c>
      <c r="B25" s="24" t="s">
        <v>276</v>
      </c>
      <c r="C25" s="23" t="s">
        <v>239</v>
      </c>
      <c r="D25" s="23" t="s">
        <v>189</v>
      </c>
      <c r="E25" s="23">
        <v>7.2420001029968262</v>
      </c>
      <c r="F25" s="23">
        <v>56846.195533846825</v>
      </c>
      <c r="G25" s="23"/>
      <c r="H25" s="23" t="str">
        <f>IF('Paste Sample Names Here'!G27="", "", 'Paste Sample Names Here'!G27)</f>
        <v/>
      </c>
      <c r="I25" s="24" t="str">
        <f>IF('Paste Sample Names Here'!F27="", "", 'Paste Sample Names Here'!F27)</f>
        <v/>
      </c>
      <c r="J25" s="23" t="str">
        <f t="shared" si="0"/>
        <v/>
      </c>
      <c r="K25" s="23" t="str">
        <f>IF(I25="", "", Sheet3!H42)</f>
        <v/>
      </c>
      <c r="L25" s="23" t="str">
        <f ca="1">IF(I25="", "", OFFSET(Data!$C$19, 2*Sheet3!B85, 0))</f>
        <v/>
      </c>
      <c r="M25" s="23" t="str">
        <f ca="1">IF(I25="", "", OFFSET(Data!$E$19, 2*Sheet3!B85, 0))</f>
        <v/>
      </c>
      <c r="N25" s="32"/>
      <c r="O25" s="23" t="str">
        <f>IF('Paste Sample Names Here'!K27="", "", 'Paste Sample Names Here'!K27)</f>
        <v/>
      </c>
      <c r="P25" s="24" t="str">
        <f>IF('Paste Sample Names Here'!J27="", "", 'Paste Sample Names Here'!J27)</f>
        <v/>
      </c>
      <c r="Q25" s="23" t="str">
        <f t="shared" si="1"/>
        <v/>
      </c>
      <c r="R25" s="23" t="str">
        <f>IF(P25="", "", Sheet3!H42)</f>
        <v/>
      </c>
      <c r="S25" s="23" t="str">
        <f ca="1">IF(P25="", "", OFFSET(Data!$C$210, 2*Sheet3!B85, 0))</f>
        <v/>
      </c>
      <c r="T25" s="23" t="str">
        <f ca="1">IF(P25="", "", OFFSET(Data!$E$210, 2*Sheet3!B85, 0))</f>
        <v/>
      </c>
      <c r="U25" s="23"/>
      <c r="V25" s="23" t="str">
        <f>IF('Paste Sample Names Here'!O27="","", 'Paste Sample Names Here'!O27)</f>
        <v/>
      </c>
      <c r="W25" s="24" t="str">
        <f>IF('Paste Sample Names Here'!N27="", "",'Paste Sample Names Here'!N27)</f>
        <v/>
      </c>
      <c r="X25" s="23" t="str">
        <f t="shared" si="2"/>
        <v/>
      </c>
      <c r="Y25" s="23" t="str">
        <f>IF(W25="", "", Sheet3!H42)</f>
        <v/>
      </c>
      <c r="Z25" s="23" t="str">
        <f ca="1">IF(W25="", "", OFFSET(Data!$C$211, 2*Sheet3!B85, 0))</f>
        <v/>
      </c>
      <c r="AA25" s="23" t="str">
        <f ca="1">IF(W25="", "", OFFSET(Data!$E$211, 2*Sheet3!B85, 0))</f>
        <v/>
      </c>
    </row>
    <row r="26" spans="1:27" x14ac:dyDescent="0.2">
      <c r="A26" s="23" t="s">
        <v>253</v>
      </c>
      <c r="B26" s="24" t="s">
        <v>277</v>
      </c>
      <c r="C26" s="23" t="s">
        <v>239</v>
      </c>
      <c r="D26" s="23" t="s">
        <v>190</v>
      </c>
      <c r="E26" s="23">
        <v>7.4219999313354492</v>
      </c>
      <c r="F26" s="23">
        <v>50738.817834835652</v>
      </c>
      <c r="G26" s="23"/>
      <c r="H26" s="23" t="str">
        <f>IF('Paste Sample Names Here'!G28="", "", 'Paste Sample Names Here'!G28)</f>
        <v/>
      </c>
      <c r="I26" s="24" t="str">
        <f>IF('Paste Sample Names Here'!F28="", "", 'Paste Sample Names Here'!F28)</f>
        <v/>
      </c>
      <c r="J26" s="23" t="str">
        <f t="shared" si="0"/>
        <v/>
      </c>
      <c r="K26" s="23" t="str">
        <f>IF(I26="", "", Sheet3!H43)</f>
        <v/>
      </c>
      <c r="L26" s="23" t="str">
        <f ca="1">IF(I26="", "", OFFSET(Data!$C$19, 2*Sheet3!B86, 0))</f>
        <v/>
      </c>
      <c r="M26" s="23" t="str">
        <f ca="1">IF(I26="", "", OFFSET(Data!$E$19, 2*Sheet3!B86, 0))</f>
        <v/>
      </c>
      <c r="N26" s="32"/>
      <c r="O26" s="23" t="str">
        <f>IF('Paste Sample Names Here'!K28="", "", 'Paste Sample Names Here'!K28)</f>
        <v/>
      </c>
      <c r="P26" s="24" t="str">
        <f>IF('Paste Sample Names Here'!J28="", "", 'Paste Sample Names Here'!J28)</f>
        <v/>
      </c>
      <c r="Q26" s="23" t="str">
        <f t="shared" si="1"/>
        <v/>
      </c>
      <c r="R26" s="23" t="str">
        <f>IF(P26="", "", Sheet3!H43)</f>
        <v/>
      </c>
      <c r="S26" s="23" t="str">
        <f ca="1">IF(P26="", "", OFFSET(Data!$C$210, 2*Sheet3!B86, 0))</f>
        <v/>
      </c>
      <c r="T26" s="23" t="str">
        <f ca="1">IF(P26="", "", OFFSET(Data!$E$210, 2*Sheet3!B86, 0))</f>
        <v/>
      </c>
      <c r="U26" s="23"/>
      <c r="V26" s="23" t="str">
        <f>IF('Paste Sample Names Here'!O28="","", 'Paste Sample Names Here'!O28)</f>
        <v/>
      </c>
      <c r="W26" s="24" t="str">
        <f>IF('Paste Sample Names Here'!N28="", "",'Paste Sample Names Here'!N28)</f>
        <v/>
      </c>
      <c r="X26" s="23" t="str">
        <f t="shared" si="2"/>
        <v/>
      </c>
      <c r="Y26" s="23" t="str">
        <f>IF(W26="", "", Sheet3!H43)</f>
        <v/>
      </c>
      <c r="Z26" s="23" t="str">
        <f ca="1">IF(W26="", "", OFFSET(Data!$C$211, 2*Sheet3!B86, 0))</f>
        <v/>
      </c>
      <c r="AA26" s="23" t="str">
        <f ca="1">IF(W26="", "", OFFSET(Data!$E$211, 2*Sheet3!B86, 0))</f>
        <v/>
      </c>
    </row>
    <row r="27" spans="1:27" x14ac:dyDescent="0.2">
      <c r="A27" s="23" t="s">
        <v>253</v>
      </c>
      <c r="B27" s="24" t="s">
        <v>278</v>
      </c>
      <c r="C27" s="23" t="s">
        <v>239</v>
      </c>
      <c r="D27" s="23" t="s">
        <v>191</v>
      </c>
      <c r="E27" s="23">
        <v>7.4479999542236328</v>
      </c>
      <c r="F27" s="23">
        <v>49912.623796468208</v>
      </c>
      <c r="G27" s="23"/>
      <c r="H27" s="23" t="str">
        <f>IF('Paste Sample Names Here'!G29="", "", 'Paste Sample Names Here'!G29)</f>
        <v/>
      </c>
      <c r="I27" s="24" t="str">
        <f>IF('Paste Sample Names Here'!F29="", "", 'Paste Sample Names Here'!F29)</f>
        <v/>
      </c>
      <c r="J27" s="23" t="str">
        <f t="shared" si="0"/>
        <v/>
      </c>
      <c r="K27" s="23" t="str">
        <f>IF(I27="", "", Sheet3!H44)</f>
        <v/>
      </c>
      <c r="L27" s="23" t="str">
        <f ca="1">IF(I27="", "", OFFSET(Data!$C$19, 2*Sheet3!B87, 0))</f>
        <v/>
      </c>
      <c r="M27" s="23" t="str">
        <f ca="1">IF(I27="", "", OFFSET(Data!$E$19, 2*Sheet3!B87, 0))</f>
        <v/>
      </c>
      <c r="N27" s="32"/>
      <c r="O27" s="23" t="str">
        <f>IF('Paste Sample Names Here'!K29="", "", 'Paste Sample Names Here'!K29)</f>
        <v/>
      </c>
      <c r="P27" s="24" t="str">
        <f>IF('Paste Sample Names Here'!J29="", "", 'Paste Sample Names Here'!J29)</f>
        <v/>
      </c>
      <c r="Q27" s="23" t="str">
        <f t="shared" si="1"/>
        <v/>
      </c>
      <c r="R27" s="23" t="str">
        <f>IF(P27="", "", Sheet3!H44)</f>
        <v/>
      </c>
      <c r="S27" s="23" t="str">
        <f ca="1">IF(P27="", "", OFFSET(Data!$C$210, 2*Sheet3!B87, 0))</f>
        <v/>
      </c>
      <c r="T27" s="23" t="str">
        <f ca="1">IF(P27="", "", OFFSET(Data!$E$210, 2*Sheet3!B87, 0))</f>
        <v/>
      </c>
      <c r="U27" s="23"/>
      <c r="V27" s="23" t="str">
        <f>IF('Paste Sample Names Here'!O29="","", 'Paste Sample Names Here'!O29)</f>
        <v/>
      </c>
      <c r="W27" s="24" t="str">
        <f>IF('Paste Sample Names Here'!N29="", "",'Paste Sample Names Here'!N29)</f>
        <v/>
      </c>
      <c r="X27" s="23" t="str">
        <f t="shared" si="2"/>
        <v/>
      </c>
      <c r="Y27" s="23" t="str">
        <f>IF(W27="", "", Sheet3!H44)</f>
        <v/>
      </c>
      <c r="Z27" s="23" t="str">
        <f ca="1">IF(W27="", "", OFFSET(Data!$C$211, 2*Sheet3!B87, 0))</f>
        <v/>
      </c>
      <c r="AA27" s="23" t="str">
        <f ca="1">IF(W27="", "", OFFSET(Data!$E$211, 2*Sheet3!B87, 0))</f>
        <v/>
      </c>
    </row>
    <row r="28" spans="1:27" x14ac:dyDescent="0.2">
      <c r="A28" s="23" t="s">
        <v>253</v>
      </c>
      <c r="B28" s="24" t="s">
        <v>279</v>
      </c>
      <c r="C28" s="23" t="s">
        <v>239</v>
      </c>
      <c r="D28" s="23" t="s">
        <v>192</v>
      </c>
      <c r="E28" s="23">
        <v>7.4580001831054688</v>
      </c>
      <c r="F28" s="23">
        <v>49598.444208573885</v>
      </c>
      <c r="G28" s="23"/>
      <c r="H28" s="23" t="str">
        <f>IF('Paste Sample Names Here'!G30="", "", 'Paste Sample Names Here'!G30)</f>
        <v/>
      </c>
      <c r="I28" s="24" t="str">
        <f>IF('Paste Sample Names Here'!F30="", "", 'Paste Sample Names Here'!F30)</f>
        <v/>
      </c>
      <c r="J28" s="23" t="str">
        <f t="shared" si="0"/>
        <v/>
      </c>
      <c r="K28" s="23" t="str">
        <f>IF(I28="", "", Sheet3!H45)</f>
        <v/>
      </c>
      <c r="L28" s="23" t="str">
        <f ca="1">IF(I28="", "", OFFSET(Data!$C$19, 2*Sheet3!B88, 0))</f>
        <v/>
      </c>
      <c r="M28" s="23" t="str">
        <f ca="1">IF(I28="", "", OFFSET(Data!$E$19, 2*Sheet3!B88, 0))</f>
        <v/>
      </c>
      <c r="N28" s="32"/>
      <c r="O28" s="23" t="str">
        <f>IF('Paste Sample Names Here'!K30="", "", 'Paste Sample Names Here'!K30)</f>
        <v/>
      </c>
      <c r="P28" s="24" t="str">
        <f>IF('Paste Sample Names Here'!J30="", "", 'Paste Sample Names Here'!J30)</f>
        <v/>
      </c>
      <c r="Q28" s="23" t="str">
        <f t="shared" si="1"/>
        <v/>
      </c>
      <c r="R28" s="23" t="str">
        <f>IF(P28="", "", Sheet3!H45)</f>
        <v/>
      </c>
      <c r="S28" s="23" t="str">
        <f ca="1">IF(P28="", "", OFFSET(Data!$C$210, 2*Sheet3!B88, 0))</f>
        <v/>
      </c>
      <c r="T28" s="23" t="str">
        <f ca="1">IF(P28="", "", OFFSET(Data!$E$210, 2*Sheet3!B88, 0))</f>
        <v/>
      </c>
      <c r="U28" s="23"/>
      <c r="V28" s="23" t="str">
        <f>IF('Paste Sample Names Here'!O30="","", 'Paste Sample Names Here'!O30)</f>
        <v/>
      </c>
      <c r="W28" s="24" t="str">
        <f>IF('Paste Sample Names Here'!N30="", "",'Paste Sample Names Here'!N30)</f>
        <v/>
      </c>
      <c r="X28" s="23" t="str">
        <f t="shared" si="2"/>
        <v/>
      </c>
      <c r="Y28" s="23" t="str">
        <f>IF(W28="", "", Sheet3!H45)</f>
        <v/>
      </c>
      <c r="Z28" s="23" t="str">
        <f ca="1">IF(W28="", "", OFFSET(Data!$C$211, 2*Sheet3!B88, 0))</f>
        <v/>
      </c>
      <c r="AA28" s="23" t="str">
        <f ca="1">IF(W28="", "", OFFSET(Data!$E$211, 2*Sheet3!B88, 0))</f>
        <v/>
      </c>
    </row>
    <row r="29" spans="1:27" x14ac:dyDescent="0.2">
      <c r="A29" s="23" t="s">
        <v>253</v>
      </c>
      <c r="B29" s="24" t="s">
        <v>280</v>
      </c>
      <c r="C29" s="23" t="s">
        <v>239</v>
      </c>
      <c r="D29" s="23" t="s">
        <v>193</v>
      </c>
      <c r="E29" s="23">
        <v>8.4659996032714844</v>
      </c>
      <c r="F29" s="23">
        <v>26244.965854660139</v>
      </c>
      <c r="G29" s="23"/>
      <c r="H29" s="23" t="str">
        <f>IF('Paste Sample Names Here'!G31="", "", 'Paste Sample Names Here'!G31)</f>
        <v/>
      </c>
      <c r="I29" s="24" t="str">
        <f>IF('Paste Sample Names Here'!F31="", "", 'Paste Sample Names Here'!F31)</f>
        <v/>
      </c>
      <c r="J29" s="23" t="str">
        <f t="shared" si="0"/>
        <v/>
      </c>
      <c r="K29" s="23" t="str">
        <f>IF(I29="", "", Sheet3!H46)</f>
        <v/>
      </c>
      <c r="L29" s="23" t="str">
        <f ca="1">IF(I29="", "", OFFSET(Data!$C$19, 2*Sheet3!B89, 0))</f>
        <v/>
      </c>
      <c r="M29" s="23" t="str">
        <f ca="1">IF(I29="", "", OFFSET(Data!$E$19, 2*Sheet3!B89, 0))</f>
        <v/>
      </c>
      <c r="N29" s="32"/>
      <c r="O29" s="23" t="str">
        <f>IF('Paste Sample Names Here'!K31="", "", 'Paste Sample Names Here'!K31)</f>
        <v/>
      </c>
      <c r="P29" s="24" t="str">
        <f>IF('Paste Sample Names Here'!J31="", "", 'Paste Sample Names Here'!J31)</f>
        <v/>
      </c>
      <c r="Q29" s="23" t="str">
        <f t="shared" si="1"/>
        <v/>
      </c>
      <c r="R29" s="23" t="str">
        <f>IF(P29="", "", Sheet3!H46)</f>
        <v/>
      </c>
      <c r="S29" s="23" t="str">
        <f ca="1">IF(P29="", "", OFFSET(Data!$C$210, 2*Sheet3!B89, 0))</f>
        <v/>
      </c>
      <c r="T29" s="23" t="str">
        <f ca="1">IF(P29="", "", OFFSET(Data!$E$210, 2*Sheet3!B89, 0))</f>
        <v/>
      </c>
      <c r="U29" s="23"/>
      <c r="V29" s="23" t="str">
        <f>IF('Paste Sample Names Here'!O31="","", 'Paste Sample Names Here'!O31)</f>
        <v/>
      </c>
      <c r="W29" s="24" t="str">
        <f>IF('Paste Sample Names Here'!N31="", "",'Paste Sample Names Here'!N31)</f>
        <v/>
      </c>
      <c r="X29" s="23" t="str">
        <f t="shared" si="2"/>
        <v/>
      </c>
      <c r="Y29" s="23" t="str">
        <f>IF(W29="", "", Sheet3!H46)</f>
        <v/>
      </c>
      <c r="Z29" s="23" t="str">
        <f ca="1">IF(W29="", "", OFFSET(Data!$C$211, 2*Sheet3!B89, 0))</f>
        <v/>
      </c>
      <c r="AA29" s="23" t="str">
        <f ca="1">IF(W29="", "", OFFSET(Data!$E$211, 2*Sheet3!B89, 0))</f>
        <v/>
      </c>
    </row>
    <row r="30" spans="1:27" x14ac:dyDescent="0.2">
      <c r="A30" s="23" t="s">
        <v>253</v>
      </c>
      <c r="B30" s="24" t="s">
        <v>281</v>
      </c>
      <c r="C30" s="23" t="s">
        <v>239</v>
      </c>
      <c r="D30" s="23" t="s">
        <v>194</v>
      </c>
      <c r="E30" s="23">
        <v>8.8760004043579102</v>
      </c>
      <c r="F30" s="23">
        <v>20258.727329704339</v>
      </c>
      <c r="G30" s="23"/>
      <c r="H30" s="23" t="str">
        <f>IF('Paste Sample Names Here'!G32="", "", 'Paste Sample Names Here'!G32)</f>
        <v/>
      </c>
      <c r="I30" s="24" t="str">
        <f>IF('Paste Sample Names Here'!F32="", "", 'Paste Sample Names Here'!F32)</f>
        <v/>
      </c>
      <c r="J30" s="23" t="str">
        <f t="shared" si="0"/>
        <v/>
      </c>
      <c r="K30" s="23" t="str">
        <f>IF(I30="", "", Sheet3!H47)</f>
        <v/>
      </c>
      <c r="L30" s="23" t="str">
        <f ca="1">IF(I30="", "", OFFSET(Data!$C$19, 2*Sheet3!B90, 0))</f>
        <v/>
      </c>
      <c r="M30" s="23" t="str">
        <f ca="1">IF(I30="", "", OFFSET(Data!$E$19, 2*Sheet3!B90, 0))</f>
        <v/>
      </c>
      <c r="N30" s="32"/>
      <c r="O30" s="23" t="str">
        <f>IF('Paste Sample Names Here'!K32="", "", 'Paste Sample Names Here'!K32)</f>
        <v/>
      </c>
      <c r="P30" s="24" t="str">
        <f>IF('Paste Sample Names Here'!J32="", "", 'Paste Sample Names Here'!J32)</f>
        <v/>
      </c>
      <c r="Q30" s="23" t="str">
        <f t="shared" si="1"/>
        <v/>
      </c>
      <c r="R30" s="23" t="str">
        <f>IF(P30="", "", Sheet3!H47)</f>
        <v/>
      </c>
      <c r="S30" s="23" t="str">
        <f ca="1">IF(P30="", "", OFFSET(Data!$C$210, 2*Sheet3!B90, 0))</f>
        <v/>
      </c>
      <c r="T30" s="23" t="str">
        <f ca="1">IF(P30="", "", OFFSET(Data!$E$210, 2*Sheet3!B90, 0))</f>
        <v/>
      </c>
      <c r="U30" s="23"/>
      <c r="V30" s="23" t="str">
        <f>IF('Paste Sample Names Here'!O32="","", 'Paste Sample Names Here'!O32)</f>
        <v/>
      </c>
      <c r="W30" s="24" t="str">
        <f>IF('Paste Sample Names Here'!N32="", "",'Paste Sample Names Here'!N32)</f>
        <v/>
      </c>
      <c r="X30" s="23" t="str">
        <f t="shared" si="2"/>
        <v/>
      </c>
      <c r="Y30" s="23" t="str">
        <f>IF(W30="", "", Sheet3!H47)</f>
        <v/>
      </c>
      <c r="Z30" s="23" t="str">
        <f ca="1">IF(W30="", "", OFFSET(Data!$C$211, 2*Sheet3!B90, 0))</f>
        <v/>
      </c>
      <c r="AA30" s="23" t="str">
        <f ca="1">IF(W30="", "", OFFSET(Data!$E$211, 2*Sheet3!B90, 0))</f>
        <v/>
      </c>
    </row>
    <row r="31" spans="1:27" x14ac:dyDescent="0.2">
      <c r="A31" s="23" t="s">
        <v>253</v>
      </c>
      <c r="B31" s="24" t="s">
        <v>282</v>
      </c>
      <c r="C31" s="23" t="s">
        <v>239</v>
      </c>
      <c r="D31" s="23" t="s">
        <v>195</v>
      </c>
      <c r="E31" s="23">
        <v>7.7220001220703125</v>
      </c>
      <c r="F31" s="23">
        <v>41982.836722460044</v>
      </c>
      <c r="G31" s="23"/>
      <c r="H31" s="23" t="str">
        <f>IF('Paste Sample Names Here'!G33="", "", 'Paste Sample Names Here'!G33)</f>
        <v/>
      </c>
      <c r="I31" s="24" t="str">
        <f>IF('Paste Sample Names Here'!F33="", "", 'Paste Sample Names Here'!F33)</f>
        <v/>
      </c>
      <c r="J31" s="23" t="str">
        <f t="shared" si="0"/>
        <v/>
      </c>
      <c r="K31" s="23" t="str">
        <f>IF(I31="", "", Sheet3!H48)</f>
        <v/>
      </c>
      <c r="L31" s="23" t="str">
        <f ca="1">IF(I31="", "", OFFSET(Data!$C$19, 2*Sheet3!B91, 0))</f>
        <v/>
      </c>
      <c r="M31" s="23" t="str">
        <f ca="1">IF(I31="", "", OFFSET(Data!$E$19, 2*Sheet3!B91, 0))</f>
        <v/>
      </c>
      <c r="N31" s="32"/>
      <c r="O31" s="23" t="str">
        <f>IF('Paste Sample Names Here'!K33="", "", 'Paste Sample Names Here'!K33)</f>
        <v/>
      </c>
      <c r="P31" s="24" t="str">
        <f>IF('Paste Sample Names Here'!J33="", "", 'Paste Sample Names Here'!J33)</f>
        <v/>
      </c>
      <c r="Q31" s="23" t="str">
        <f t="shared" si="1"/>
        <v/>
      </c>
      <c r="R31" s="23" t="str">
        <f>IF(P31="", "", Sheet3!H48)</f>
        <v/>
      </c>
      <c r="S31" s="23" t="str">
        <f ca="1">IF(P31="", "", OFFSET(Data!$C$210, 2*Sheet3!B91, 0))</f>
        <v/>
      </c>
      <c r="T31" s="23" t="str">
        <f ca="1">IF(P31="", "", OFFSET(Data!$E$210, 2*Sheet3!B91, 0))</f>
        <v/>
      </c>
      <c r="U31" s="23"/>
      <c r="V31" s="23" t="str">
        <f>IF('Paste Sample Names Here'!O33="","", 'Paste Sample Names Here'!O33)</f>
        <v/>
      </c>
      <c r="W31" s="24" t="str">
        <f>IF('Paste Sample Names Here'!N33="", "",'Paste Sample Names Here'!N33)</f>
        <v/>
      </c>
      <c r="X31" s="23" t="str">
        <f t="shared" si="2"/>
        <v/>
      </c>
      <c r="Y31" s="23" t="str">
        <f>IF(W31="", "", Sheet3!H48)</f>
        <v/>
      </c>
      <c r="Z31" s="23" t="str">
        <f ca="1">IF(W31="", "", OFFSET(Data!$C$211, 2*Sheet3!B91, 0))</f>
        <v/>
      </c>
      <c r="AA31" s="23" t="str">
        <f ca="1">IF(W31="", "", OFFSET(Data!$E$211, 2*Sheet3!B91, 0))</f>
        <v/>
      </c>
    </row>
    <row r="32" spans="1:27" x14ac:dyDescent="0.2">
      <c r="A32" s="23" t="s">
        <v>253</v>
      </c>
      <c r="B32" s="24" t="s">
        <v>283</v>
      </c>
      <c r="C32" s="23" t="s">
        <v>239</v>
      </c>
      <c r="D32" s="23" t="s">
        <v>196</v>
      </c>
      <c r="E32" s="23">
        <v>7.9650001525878906</v>
      </c>
      <c r="F32" s="23">
        <v>36010.924969323503</v>
      </c>
      <c r="G32" s="23"/>
      <c r="H32" s="23" t="str">
        <f>IF('Paste Sample Names Here'!G34="", "", 'Paste Sample Names Here'!G34)</f>
        <v/>
      </c>
      <c r="I32" s="24" t="str">
        <f>IF('Paste Sample Names Here'!F34="", "", 'Paste Sample Names Here'!F34)</f>
        <v/>
      </c>
      <c r="J32" s="23" t="str">
        <f t="shared" si="0"/>
        <v/>
      </c>
      <c r="K32" s="23" t="str">
        <f>IF(I32="", "", Sheet3!H49)</f>
        <v/>
      </c>
      <c r="L32" s="23" t="str">
        <f ca="1">IF(I32="", "", OFFSET(Data!$C$19, 2*Sheet3!B92, 0))</f>
        <v/>
      </c>
      <c r="M32" s="23" t="str">
        <f ca="1">IF(I32="", "", OFFSET(Data!$E$19, 2*Sheet3!B92, 0))</f>
        <v/>
      </c>
      <c r="N32" s="32"/>
      <c r="O32" s="23" t="str">
        <f>IF('Paste Sample Names Here'!K34="", "", 'Paste Sample Names Here'!K34)</f>
        <v/>
      </c>
      <c r="P32" s="24" t="str">
        <f>IF('Paste Sample Names Here'!J34="", "", 'Paste Sample Names Here'!J34)</f>
        <v/>
      </c>
      <c r="Q32" s="23" t="str">
        <f t="shared" si="1"/>
        <v/>
      </c>
      <c r="R32" s="23" t="str">
        <f>IF(P32="", "", Sheet3!H49)</f>
        <v/>
      </c>
      <c r="S32" s="23" t="str">
        <f ca="1">IF(P32="", "", OFFSET(Data!$C$210, 2*Sheet3!B92, 0))</f>
        <v/>
      </c>
      <c r="T32" s="23" t="str">
        <f ca="1">IF(P32="", "", OFFSET(Data!$E$210, 2*Sheet3!B92, 0))</f>
        <v/>
      </c>
      <c r="U32" s="23"/>
      <c r="V32" s="23" t="str">
        <f>IF('Paste Sample Names Here'!O34="","", 'Paste Sample Names Here'!O34)</f>
        <v/>
      </c>
      <c r="W32" s="24" t="str">
        <f>IF('Paste Sample Names Here'!N34="", "",'Paste Sample Names Here'!N34)</f>
        <v/>
      </c>
      <c r="X32" s="23" t="str">
        <f t="shared" si="2"/>
        <v/>
      </c>
      <c r="Y32" s="23" t="str">
        <f>IF(W32="", "", Sheet3!H49)</f>
        <v/>
      </c>
      <c r="Z32" s="23" t="str">
        <f ca="1">IF(W32="", "", OFFSET(Data!$C$211, 2*Sheet3!B92, 0))</f>
        <v/>
      </c>
      <c r="AA32" s="23" t="str">
        <f ca="1">IF(W32="", "", OFFSET(Data!$E$211, 2*Sheet3!B92, 0))</f>
        <v/>
      </c>
    </row>
    <row r="33" spans="1:27" x14ac:dyDescent="0.2">
      <c r="A33" s="23" t="s">
        <v>253</v>
      </c>
      <c r="B33" s="24" t="s">
        <v>284</v>
      </c>
      <c r="C33" s="23" t="s">
        <v>239</v>
      </c>
      <c r="D33" s="23" t="s">
        <v>197</v>
      </c>
      <c r="E33" s="23">
        <v>7.935999870300293</v>
      </c>
      <c r="F33" s="23">
        <v>36676.423340630601</v>
      </c>
      <c r="G33" s="23"/>
      <c r="H33" s="23" t="str">
        <f>IF('Paste Sample Names Here'!G35="", "", 'Paste Sample Names Here'!G35)</f>
        <v/>
      </c>
      <c r="I33" s="24" t="str">
        <f>IF('Paste Sample Names Here'!F35="", "", 'Paste Sample Names Here'!F35)</f>
        <v/>
      </c>
      <c r="J33" s="23" t="str">
        <f t="shared" si="0"/>
        <v/>
      </c>
      <c r="K33" s="23" t="str">
        <f>IF(I33="", "", Sheet3!H50)</f>
        <v/>
      </c>
      <c r="L33" s="23" t="str">
        <f ca="1">IF(I33="", "", OFFSET(Data!$C$19, 2*Sheet3!B93, 0))</f>
        <v/>
      </c>
      <c r="M33" s="23" t="str">
        <f ca="1">IF(I33="", "", OFFSET(Data!$E$19, 2*Sheet3!B93, 0))</f>
        <v/>
      </c>
      <c r="N33" s="32"/>
      <c r="O33" s="23" t="str">
        <f>IF('Paste Sample Names Here'!K35="", "", 'Paste Sample Names Here'!K35)</f>
        <v/>
      </c>
      <c r="P33" s="24" t="str">
        <f>IF('Paste Sample Names Here'!J35="", "", 'Paste Sample Names Here'!J35)</f>
        <v/>
      </c>
      <c r="Q33" s="23" t="str">
        <f t="shared" si="1"/>
        <v/>
      </c>
      <c r="R33" s="23" t="str">
        <f>IF(P33="", "", Sheet3!H50)</f>
        <v/>
      </c>
      <c r="S33" s="23" t="str">
        <f ca="1">IF(P33="", "", OFFSET(Data!$C$210, 2*Sheet3!B93, 0))</f>
        <v/>
      </c>
      <c r="T33" s="23" t="str">
        <f ca="1">IF(P33="", "", OFFSET(Data!$E$210, 2*Sheet3!B93, 0))</f>
        <v/>
      </c>
      <c r="U33" s="23"/>
      <c r="V33" s="23" t="str">
        <f>IF('Paste Sample Names Here'!O35="","", 'Paste Sample Names Here'!O35)</f>
        <v/>
      </c>
      <c r="W33" s="24" t="str">
        <f>IF('Paste Sample Names Here'!N35="", "",'Paste Sample Names Here'!N35)</f>
        <v/>
      </c>
      <c r="X33" s="23" t="str">
        <f t="shared" si="2"/>
        <v/>
      </c>
      <c r="Y33" s="23" t="str">
        <f>IF(W33="", "", Sheet3!H50)</f>
        <v/>
      </c>
      <c r="Z33" s="23" t="str">
        <f ca="1">IF(W33="", "", OFFSET(Data!$C$211, 2*Sheet3!B93, 0))</f>
        <v/>
      </c>
      <c r="AA33" s="23" t="str">
        <f ca="1">IF(W33="", "", OFFSET(Data!$E$211, 2*Sheet3!B93, 0))</f>
        <v/>
      </c>
    </row>
    <row r="34" spans="1:27" x14ac:dyDescent="0.2">
      <c r="A34" s="23" t="s">
        <v>253</v>
      </c>
      <c r="B34" s="24" t="s">
        <v>285</v>
      </c>
      <c r="C34" s="23" t="s">
        <v>239</v>
      </c>
      <c r="D34" s="23" t="s">
        <v>198</v>
      </c>
      <c r="E34" s="23">
        <v>8.4110002517700195</v>
      </c>
      <c r="F34" s="23">
        <v>27172.424755356544</v>
      </c>
      <c r="G34" s="23"/>
      <c r="H34" s="23" t="str">
        <f>IF('Paste Sample Names Here'!G36="", "", 'Paste Sample Names Here'!G36)</f>
        <v/>
      </c>
      <c r="I34" s="24" t="str">
        <f>IF('Paste Sample Names Here'!F36="", "", 'Paste Sample Names Here'!F36)</f>
        <v/>
      </c>
      <c r="J34" s="23" t="str">
        <f t="shared" si="0"/>
        <v/>
      </c>
      <c r="K34" s="23" t="str">
        <f>IF(I34="", "", Sheet3!H51)</f>
        <v/>
      </c>
      <c r="L34" s="23" t="str">
        <f ca="1">IF(I34="", "", OFFSET(Data!$C$19, 2*Sheet3!B94, 0))</f>
        <v/>
      </c>
      <c r="M34" s="23" t="str">
        <f ca="1">IF(I34="", "", OFFSET(Data!$E$19, 2*Sheet3!B94, 0))</f>
        <v/>
      </c>
      <c r="N34" s="32"/>
      <c r="O34" s="23" t="str">
        <f>IF('Paste Sample Names Here'!K36="", "", 'Paste Sample Names Here'!K36)</f>
        <v/>
      </c>
      <c r="P34" s="24" t="str">
        <f>IF('Paste Sample Names Here'!J36="", "", 'Paste Sample Names Here'!J36)</f>
        <v/>
      </c>
      <c r="Q34" s="23" t="str">
        <f t="shared" si="1"/>
        <v/>
      </c>
      <c r="R34" s="23" t="str">
        <f>IF(P34="", "", Sheet3!H51)</f>
        <v/>
      </c>
      <c r="S34" s="23" t="str">
        <f ca="1">IF(P34="", "", OFFSET(Data!$C$210, 2*Sheet3!B94, 0))</f>
        <v/>
      </c>
      <c r="T34" s="23" t="str">
        <f ca="1">IF(P34="", "", OFFSET(Data!$E$210, 2*Sheet3!B94, 0))</f>
        <v/>
      </c>
      <c r="U34" s="23"/>
      <c r="V34" s="23" t="str">
        <f>IF('Paste Sample Names Here'!O36="","", 'Paste Sample Names Here'!O36)</f>
        <v/>
      </c>
      <c r="W34" s="24" t="str">
        <f>IF('Paste Sample Names Here'!N36="", "",'Paste Sample Names Here'!N36)</f>
        <v/>
      </c>
      <c r="X34" s="23" t="str">
        <f t="shared" si="2"/>
        <v/>
      </c>
      <c r="Y34" s="23" t="str">
        <f>IF(W34="", "", Sheet3!H51)</f>
        <v/>
      </c>
      <c r="Z34" s="23" t="str">
        <f ca="1">IF(W34="", "", OFFSET(Data!$C$211, 2*Sheet3!B94, 0))</f>
        <v/>
      </c>
      <c r="AA34" s="23" t="str">
        <f ca="1">IF(W34="", "", OFFSET(Data!$E$211, 2*Sheet3!B94, 0))</f>
        <v/>
      </c>
    </row>
    <row r="35" spans="1:27" x14ac:dyDescent="0.2">
      <c r="A35" s="23" t="s">
        <v>253</v>
      </c>
      <c r="B35" s="24" t="s">
        <v>286</v>
      </c>
      <c r="C35" s="23" t="s">
        <v>239</v>
      </c>
      <c r="D35" s="23" t="s">
        <v>199</v>
      </c>
      <c r="E35" s="23">
        <v>7.304999828338623</v>
      </c>
      <c r="F35" s="23">
        <v>54629.231657236684</v>
      </c>
      <c r="G35" s="23"/>
      <c r="H35" s="23" t="str">
        <f>IF('Paste Sample Names Here'!G37="", "", 'Paste Sample Names Here'!G37)</f>
        <v/>
      </c>
      <c r="I35" s="24" t="str">
        <f>IF('Paste Sample Names Here'!F37="", "", 'Paste Sample Names Here'!F37)</f>
        <v/>
      </c>
      <c r="J35" s="23" t="str">
        <f t="shared" si="0"/>
        <v/>
      </c>
      <c r="K35" s="23" t="str">
        <f>IF(I35="", "", Sheet3!H52)</f>
        <v/>
      </c>
      <c r="L35" s="23" t="str">
        <f ca="1">IF(I35="", "", OFFSET(Data!$C$19, 2*Sheet3!B95, 0))</f>
        <v/>
      </c>
      <c r="M35" s="23" t="str">
        <f ca="1">IF(I35="", "", OFFSET(Data!$E$19, 2*Sheet3!B95, 0))</f>
        <v/>
      </c>
      <c r="N35" s="32"/>
      <c r="O35" s="23" t="str">
        <f>IF('Paste Sample Names Here'!K37="", "", 'Paste Sample Names Here'!K37)</f>
        <v/>
      </c>
      <c r="P35" s="24" t="str">
        <f>IF('Paste Sample Names Here'!J37="", "", 'Paste Sample Names Here'!J37)</f>
        <v/>
      </c>
      <c r="Q35" s="23" t="str">
        <f t="shared" si="1"/>
        <v/>
      </c>
      <c r="R35" s="23" t="str">
        <f>IF(P35="", "", Sheet3!H52)</f>
        <v/>
      </c>
      <c r="S35" s="23" t="str">
        <f ca="1">IF(P35="", "", OFFSET(Data!$C$210, 2*Sheet3!B95, 0))</f>
        <v/>
      </c>
      <c r="T35" s="23" t="str">
        <f ca="1">IF(P35="", "", OFFSET(Data!$E$210, 2*Sheet3!B95, 0))</f>
        <v/>
      </c>
      <c r="U35" s="23"/>
      <c r="V35" s="23" t="str">
        <f>IF('Paste Sample Names Here'!O37="","", 'Paste Sample Names Here'!O37)</f>
        <v/>
      </c>
      <c r="W35" s="24" t="str">
        <f>IF('Paste Sample Names Here'!N37="", "",'Paste Sample Names Here'!N37)</f>
        <v/>
      </c>
      <c r="X35" s="23" t="str">
        <f t="shared" si="2"/>
        <v/>
      </c>
      <c r="Y35" s="23" t="str">
        <f>IF(W35="", "", Sheet3!H52)</f>
        <v/>
      </c>
      <c r="Z35" s="23" t="str">
        <f ca="1">IF(W35="", "", OFFSET(Data!$C$211, 2*Sheet3!B95, 0))</f>
        <v/>
      </c>
      <c r="AA35" s="23" t="str">
        <f ca="1">IF(W35="", "", OFFSET(Data!$E$211, 2*Sheet3!B95, 0))</f>
        <v/>
      </c>
    </row>
    <row r="36" spans="1:27" x14ac:dyDescent="0.2">
      <c r="A36" s="23" t="s">
        <v>253</v>
      </c>
      <c r="B36" s="24" t="s">
        <v>287</v>
      </c>
      <c r="C36" s="23" t="s">
        <v>239</v>
      </c>
      <c r="D36" s="23" t="s">
        <v>200</v>
      </c>
      <c r="E36" s="23">
        <v>7.190000057220459</v>
      </c>
      <c r="F36" s="23">
        <v>58743.699360449995</v>
      </c>
      <c r="G36" s="23"/>
      <c r="H36" s="23" t="str">
        <f>IF('Paste Sample Names Here'!G38="", "", 'Paste Sample Names Here'!G38)</f>
        <v/>
      </c>
      <c r="I36" s="24" t="str">
        <f>IF('Paste Sample Names Here'!F38="", "", 'Paste Sample Names Here'!F38)</f>
        <v/>
      </c>
      <c r="J36" s="23" t="str">
        <f t="shared" si="0"/>
        <v/>
      </c>
      <c r="K36" s="23" t="str">
        <f>IF(I36="", "", Sheet3!H53)</f>
        <v/>
      </c>
      <c r="L36" s="23" t="str">
        <f ca="1">IF(I36="", "", OFFSET(Data!$C$19, 2*Sheet3!B96, 0))</f>
        <v/>
      </c>
      <c r="M36" s="23" t="str">
        <f ca="1">IF(I36="", "", OFFSET(Data!$E$19, 2*Sheet3!B96, 0))</f>
        <v/>
      </c>
      <c r="N36" s="32"/>
      <c r="O36" s="23" t="str">
        <f>IF('Paste Sample Names Here'!K38="", "", 'Paste Sample Names Here'!K38)</f>
        <v/>
      </c>
      <c r="P36" s="24" t="str">
        <f>IF('Paste Sample Names Here'!J38="", "", 'Paste Sample Names Here'!J38)</f>
        <v/>
      </c>
      <c r="Q36" s="23" t="str">
        <f t="shared" si="1"/>
        <v/>
      </c>
      <c r="R36" s="23" t="str">
        <f>IF(P36="", "", Sheet3!H53)</f>
        <v/>
      </c>
      <c r="S36" s="23" t="str">
        <f ca="1">IF(P36="", "", OFFSET(Data!$C$210, 2*Sheet3!B96, 0))</f>
        <v/>
      </c>
      <c r="T36" s="23" t="str">
        <f ca="1">IF(P36="", "", OFFSET(Data!$E$210, 2*Sheet3!B96, 0))</f>
        <v/>
      </c>
      <c r="U36" s="23"/>
      <c r="V36" s="23" t="str">
        <f>IF('Paste Sample Names Here'!O38="","", 'Paste Sample Names Here'!O38)</f>
        <v/>
      </c>
      <c r="W36" s="24" t="str">
        <f>IF('Paste Sample Names Here'!N38="", "",'Paste Sample Names Here'!N38)</f>
        <v/>
      </c>
      <c r="X36" s="23" t="str">
        <f t="shared" si="2"/>
        <v/>
      </c>
      <c r="Y36" s="23" t="str">
        <f>IF(W36="", "", Sheet3!H53)</f>
        <v/>
      </c>
      <c r="Z36" s="23" t="str">
        <f ca="1">IF(W36="", "", OFFSET(Data!$C$211, 2*Sheet3!B96, 0))</f>
        <v/>
      </c>
      <c r="AA36" s="23" t="str">
        <f ca="1">IF(W36="", "", OFFSET(Data!$E$211, 2*Sheet3!B96, 0))</f>
        <v/>
      </c>
    </row>
    <row r="37" spans="1:27" x14ac:dyDescent="0.2">
      <c r="A37" s="23" t="s">
        <v>253</v>
      </c>
      <c r="B37" s="24" t="s">
        <v>288</v>
      </c>
      <c r="C37" s="23" t="s">
        <v>239</v>
      </c>
      <c r="D37" s="23" t="s">
        <v>201</v>
      </c>
      <c r="E37" s="23">
        <v>8.0600004196166992</v>
      </c>
      <c r="F37" s="23">
        <v>33914.272702222261</v>
      </c>
      <c r="G37" s="23"/>
      <c r="H37" s="23" t="str">
        <f>IF('Paste Sample Names Here'!G39="", "", 'Paste Sample Names Here'!G39)</f>
        <v/>
      </c>
      <c r="I37" s="24" t="str">
        <f>IF('Paste Sample Names Here'!F39="", "", 'Paste Sample Names Here'!F39)</f>
        <v/>
      </c>
      <c r="J37" s="23" t="str">
        <f t="shared" si="0"/>
        <v/>
      </c>
      <c r="K37" s="23" t="str">
        <f>IF(I37="", "", Sheet3!H54)</f>
        <v/>
      </c>
      <c r="L37" s="23" t="str">
        <f ca="1">IF(I37="", "", OFFSET(Data!$C$19, 2*Sheet3!B97, 0))</f>
        <v/>
      </c>
      <c r="M37" s="23" t="str">
        <f ca="1">IF(I37="", "", OFFSET(Data!$E$19, 2*Sheet3!B97, 0))</f>
        <v/>
      </c>
      <c r="N37" s="32"/>
      <c r="O37" s="23" t="str">
        <f>IF('Paste Sample Names Here'!K39="", "", 'Paste Sample Names Here'!K39)</f>
        <v/>
      </c>
      <c r="P37" s="24" t="str">
        <f>IF('Paste Sample Names Here'!J39="", "", 'Paste Sample Names Here'!J39)</f>
        <v/>
      </c>
      <c r="Q37" s="23" t="str">
        <f t="shared" si="1"/>
        <v/>
      </c>
      <c r="R37" s="23" t="str">
        <f>IF(P37="", "", Sheet3!H54)</f>
        <v/>
      </c>
      <c r="S37" s="23" t="str">
        <f ca="1">IF(P37="", "", OFFSET(Data!$C$210, 2*Sheet3!B97, 0))</f>
        <v/>
      </c>
      <c r="T37" s="23" t="str">
        <f ca="1">IF(P37="", "", OFFSET(Data!$E$210, 2*Sheet3!B97, 0))</f>
        <v/>
      </c>
      <c r="U37" s="23"/>
      <c r="V37" s="23" t="str">
        <f>IF('Paste Sample Names Here'!O39="","", 'Paste Sample Names Here'!O39)</f>
        <v/>
      </c>
      <c r="W37" s="24" t="str">
        <f>IF('Paste Sample Names Here'!N39="", "",'Paste Sample Names Here'!N39)</f>
        <v/>
      </c>
      <c r="X37" s="23" t="str">
        <f t="shared" si="2"/>
        <v/>
      </c>
      <c r="Y37" s="23" t="str">
        <f>IF(W37="", "", Sheet3!H54)</f>
        <v/>
      </c>
      <c r="Z37" s="23" t="str">
        <f ca="1">IF(W37="", "", OFFSET(Data!$C$211, 2*Sheet3!B97, 0))</f>
        <v/>
      </c>
      <c r="AA37" s="23" t="str">
        <f ca="1">IF(W37="", "", OFFSET(Data!$E$211, 2*Sheet3!B97, 0))</f>
        <v/>
      </c>
    </row>
    <row r="38" spans="1:27" x14ac:dyDescent="0.2">
      <c r="A38" s="23" t="s">
        <v>253</v>
      </c>
      <c r="B38" s="24" t="s">
        <v>289</v>
      </c>
      <c r="C38" s="23" t="s">
        <v>239</v>
      </c>
      <c r="D38" s="23" t="s">
        <v>202</v>
      </c>
      <c r="E38" s="23">
        <v>7.0419998168945312</v>
      </c>
      <c r="F38" s="23">
        <v>64498.135125647139</v>
      </c>
      <c r="G38" s="23"/>
      <c r="H38" s="23" t="str">
        <f>IF('Paste Sample Names Here'!G40="", "", 'Paste Sample Names Here'!G40)</f>
        <v/>
      </c>
      <c r="I38" s="24" t="str">
        <f>IF('Paste Sample Names Here'!F40="", "", 'Paste Sample Names Here'!F40)</f>
        <v/>
      </c>
      <c r="J38" s="23" t="str">
        <f t="shared" si="0"/>
        <v/>
      </c>
      <c r="K38" s="23" t="str">
        <f>IF(I38="", "", Sheet3!H55)</f>
        <v/>
      </c>
      <c r="L38" s="23" t="str">
        <f ca="1">IF(I38="", "", OFFSET(Data!$C$19, 2*Sheet3!B98, 0))</f>
        <v/>
      </c>
      <c r="M38" s="23" t="str">
        <f ca="1">IF(I38="", "", OFFSET(Data!$E$19, 2*Sheet3!B98, 0))</f>
        <v/>
      </c>
      <c r="N38" s="32"/>
      <c r="O38" s="23" t="str">
        <f>IF('Paste Sample Names Here'!K40="", "", 'Paste Sample Names Here'!K40)</f>
        <v/>
      </c>
      <c r="P38" s="24" t="str">
        <f>IF('Paste Sample Names Here'!J40="", "", 'Paste Sample Names Here'!J40)</f>
        <v/>
      </c>
      <c r="Q38" s="23" t="str">
        <f t="shared" si="1"/>
        <v/>
      </c>
      <c r="R38" s="23" t="str">
        <f>IF(P38="", "", Sheet3!H55)</f>
        <v/>
      </c>
      <c r="S38" s="23" t="str">
        <f ca="1">IF(P38="", "", OFFSET(Data!$C$210, 2*Sheet3!B98, 0))</f>
        <v/>
      </c>
      <c r="T38" s="23" t="str">
        <f ca="1">IF(P38="", "", OFFSET(Data!$E$210, 2*Sheet3!B98, 0))</f>
        <v/>
      </c>
      <c r="U38" s="23"/>
      <c r="V38" s="23" t="str">
        <f>IF('Paste Sample Names Here'!O40="","", 'Paste Sample Names Here'!O40)</f>
        <v/>
      </c>
      <c r="W38" s="24" t="str">
        <f>IF('Paste Sample Names Here'!N40="", "",'Paste Sample Names Here'!N40)</f>
        <v/>
      </c>
      <c r="X38" s="23" t="str">
        <f t="shared" si="2"/>
        <v/>
      </c>
      <c r="Y38" s="23" t="str">
        <f>IF(W38="", "", Sheet3!H55)</f>
        <v/>
      </c>
      <c r="Z38" s="23" t="str">
        <f ca="1">IF(W38="", "", OFFSET(Data!$C$211, 2*Sheet3!B98, 0))</f>
        <v/>
      </c>
      <c r="AA38" s="23" t="str">
        <f ca="1">IF(W38="", "", OFFSET(Data!$E$211, 2*Sheet3!B98, 0))</f>
        <v/>
      </c>
    </row>
    <row r="39" spans="1:27" x14ac:dyDescent="0.2">
      <c r="A39" s="23" t="s">
        <v>253</v>
      </c>
      <c r="B39" s="24" t="s">
        <v>290</v>
      </c>
      <c r="C39" s="23" t="s">
        <v>239</v>
      </c>
      <c r="D39" s="23" t="s">
        <v>203</v>
      </c>
      <c r="E39" s="23">
        <v>7.3680000305175781</v>
      </c>
      <c r="F39" s="23">
        <v>52498.712092713788</v>
      </c>
      <c r="G39" s="23"/>
      <c r="H39" s="23" t="str">
        <f>IF('Paste Sample Names Here'!G41="", "", 'Paste Sample Names Here'!G41)</f>
        <v/>
      </c>
      <c r="I39" s="24" t="str">
        <f>IF('Paste Sample Names Here'!F41="", "", 'Paste Sample Names Here'!F41)</f>
        <v/>
      </c>
      <c r="J39" s="23" t="str">
        <f t="shared" si="0"/>
        <v/>
      </c>
      <c r="K39" s="23" t="str">
        <f>IF(I39="", "", Sheet3!H56)</f>
        <v/>
      </c>
      <c r="L39" s="23" t="str">
        <f ca="1">IF(I39="", "", OFFSET(Data!$C$19, 2*Sheet3!B99, 0))</f>
        <v/>
      </c>
      <c r="M39" s="23" t="str">
        <f ca="1">IF(I39="", "", OFFSET(Data!$E$19, 2*Sheet3!B99, 0))</f>
        <v/>
      </c>
      <c r="N39" s="32"/>
      <c r="O39" s="23" t="str">
        <f>IF('Paste Sample Names Here'!K41="", "", 'Paste Sample Names Here'!K41)</f>
        <v/>
      </c>
      <c r="P39" s="24" t="str">
        <f>IF('Paste Sample Names Here'!J41="", "", 'Paste Sample Names Here'!J41)</f>
        <v/>
      </c>
      <c r="Q39" s="23" t="str">
        <f t="shared" si="1"/>
        <v/>
      </c>
      <c r="R39" s="23" t="str">
        <f>IF(P39="", "", Sheet3!H56)</f>
        <v/>
      </c>
      <c r="S39" s="23" t="str">
        <f ca="1">IF(P39="", "", OFFSET(Data!$C$210, 2*Sheet3!B99, 0))</f>
        <v/>
      </c>
      <c r="T39" s="23" t="str">
        <f ca="1">IF(P39="", "", OFFSET(Data!$E$210, 2*Sheet3!B99, 0))</f>
        <v/>
      </c>
      <c r="U39" s="23"/>
      <c r="V39" s="23" t="str">
        <f>IF('Paste Sample Names Here'!O41="","", 'Paste Sample Names Here'!O41)</f>
        <v/>
      </c>
      <c r="W39" s="24" t="str">
        <f>IF('Paste Sample Names Here'!N41="", "",'Paste Sample Names Here'!N41)</f>
        <v/>
      </c>
      <c r="X39" s="23" t="str">
        <f t="shared" si="2"/>
        <v/>
      </c>
      <c r="Y39" s="23" t="str">
        <f>IF(W39="", "", Sheet3!H56)</f>
        <v/>
      </c>
      <c r="Z39" s="23" t="str">
        <f ca="1">IF(W39="", "", OFFSET(Data!$C$211, 2*Sheet3!B99, 0))</f>
        <v/>
      </c>
      <c r="AA39" s="23" t="str">
        <f ca="1">IF(W39="", "", OFFSET(Data!$E$211, 2*Sheet3!B99, 0))</f>
        <v/>
      </c>
    </row>
    <row r="40" spans="1:27" x14ac:dyDescent="0.2">
      <c r="A40" s="23" t="s">
        <v>253</v>
      </c>
      <c r="B40" s="24" t="s">
        <v>291</v>
      </c>
      <c r="C40" s="23" t="s">
        <v>239</v>
      </c>
      <c r="D40" s="23" t="s">
        <v>204</v>
      </c>
      <c r="E40" s="23">
        <v>7.5539999008178711</v>
      </c>
      <c r="F40" s="23">
        <v>46681.221043709891</v>
      </c>
      <c r="G40" s="23"/>
      <c r="H40" s="23" t="str">
        <f>IF('Paste Sample Names Here'!G42="", "", 'Paste Sample Names Here'!G42)</f>
        <v/>
      </c>
      <c r="I40" s="24" t="str">
        <f>IF('Paste Sample Names Here'!F42="", "", 'Paste Sample Names Here'!F42)</f>
        <v/>
      </c>
      <c r="J40" s="23" t="str">
        <f t="shared" si="0"/>
        <v/>
      </c>
      <c r="K40" s="23" t="str">
        <f>IF(I40="", "", Sheet3!H57)</f>
        <v/>
      </c>
      <c r="L40" s="23" t="str">
        <f ca="1">IF(I40="", "", OFFSET(Data!$C$19, 2*Sheet3!B100, 0))</f>
        <v/>
      </c>
      <c r="M40" s="23" t="str">
        <f ca="1">IF(I40="", "", OFFSET(Data!$E$19, 2*Sheet3!B100, 0))</f>
        <v/>
      </c>
      <c r="N40" s="32"/>
      <c r="O40" s="23" t="str">
        <f>IF('Paste Sample Names Here'!K42="", "", 'Paste Sample Names Here'!K42)</f>
        <v/>
      </c>
      <c r="P40" s="24" t="str">
        <f>IF('Paste Sample Names Here'!J42="", "", 'Paste Sample Names Here'!J42)</f>
        <v/>
      </c>
      <c r="Q40" s="23" t="str">
        <f t="shared" si="1"/>
        <v/>
      </c>
      <c r="R40" s="23" t="str">
        <f>IF(P40="", "", Sheet3!H57)</f>
        <v/>
      </c>
      <c r="S40" s="23" t="str">
        <f ca="1">IF(P40="", "", OFFSET(Data!$C$210, 2*Sheet3!B100, 0))</f>
        <v/>
      </c>
      <c r="T40" s="23" t="str">
        <f ca="1">IF(P40="", "", OFFSET(Data!$E$210, 2*Sheet3!B100, 0))</f>
        <v/>
      </c>
      <c r="U40" s="23"/>
      <c r="V40" s="23" t="str">
        <f>IF('Paste Sample Names Here'!O42="","", 'Paste Sample Names Here'!O42)</f>
        <v/>
      </c>
      <c r="W40" s="24" t="str">
        <f>IF('Paste Sample Names Here'!N42="", "",'Paste Sample Names Here'!N42)</f>
        <v/>
      </c>
      <c r="X40" s="23" t="str">
        <f t="shared" si="2"/>
        <v/>
      </c>
      <c r="Y40" s="23" t="str">
        <f>IF(W40="", "", Sheet3!H57)</f>
        <v/>
      </c>
      <c r="Z40" s="23" t="str">
        <f ca="1">IF(W40="", "", OFFSET(Data!$C$211, 2*Sheet3!B100, 0))</f>
        <v/>
      </c>
      <c r="AA40" s="23" t="str">
        <f ca="1">IF(W40="", "", OFFSET(Data!$E$211, 2*Sheet3!B100, 0))</f>
        <v/>
      </c>
    </row>
    <row r="41" spans="1:27" x14ac:dyDescent="0.2">
      <c r="A41" s="23" t="s">
        <v>253</v>
      </c>
      <c r="B41" s="24" t="s">
        <v>292</v>
      </c>
      <c r="C41" s="23" t="s">
        <v>239</v>
      </c>
      <c r="D41" s="23" t="s">
        <v>205</v>
      </c>
      <c r="E41" s="23">
        <v>7.9289999008178711</v>
      </c>
      <c r="F41" s="23">
        <v>36838.892655560099</v>
      </c>
      <c r="G41" s="23"/>
      <c r="H41" s="23" t="str">
        <f>IF('Paste Sample Names Here'!G43="", "", 'Paste Sample Names Here'!G43)</f>
        <v/>
      </c>
      <c r="I41" s="24" t="str">
        <f>IF('Paste Sample Names Here'!F43="", "", 'Paste Sample Names Here'!F43)</f>
        <v/>
      </c>
      <c r="J41" s="23" t="str">
        <f t="shared" si="0"/>
        <v/>
      </c>
      <c r="K41" s="23" t="str">
        <f>IF(I41="", "", Sheet3!H58)</f>
        <v/>
      </c>
      <c r="L41" s="23" t="str">
        <f ca="1">IF(I41="", "", OFFSET(Data!$C$19, 2*Sheet3!B101, 0))</f>
        <v/>
      </c>
      <c r="M41" s="23" t="str">
        <f ca="1">IF(I41="", "", OFFSET(Data!$E$19, 2*Sheet3!B101, 0))</f>
        <v/>
      </c>
      <c r="N41" s="32"/>
      <c r="O41" s="23" t="str">
        <f>IF('Paste Sample Names Here'!K43="", "", 'Paste Sample Names Here'!K43)</f>
        <v/>
      </c>
      <c r="P41" s="24" t="str">
        <f>IF('Paste Sample Names Here'!J43="", "", 'Paste Sample Names Here'!J43)</f>
        <v/>
      </c>
      <c r="Q41" s="23" t="str">
        <f t="shared" si="1"/>
        <v/>
      </c>
      <c r="R41" s="23" t="str">
        <f>IF(P41="", "", Sheet3!H58)</f>
        <v/>
      </c>
      <c r="S41" s="23" t="str">
        <f ca="1">IF(P41="", "", OFFSET(Data!$C$210, 2*Sheet3!B101, 0))</f>
        <v/>
      </c>
      <c r="T41" s="23" t="str">
        <f ca="1">IF(P41="", "", OFFSET(Data!$E$210, 2*Sheet3!B101, 0))</f>
        <v/>
      </c>
      <c r="U41" s="23"/>
      <c r="V41" s="23" t="str">
        <f>IF('Paste Sample Names Here'!O43="","", 'Paste Sample Names Here'!O43)</f>
        <v/>
      </c>
      <c r="W41" s="24" t="str">
        <f>IF('Paste Sample Names Here'!N43="", "",'Paste Sample Names Here'!N43)</f>
        <v/>
      </c>
      <c r="X41" s="23" t="str">
        <f t="shared" si="2"/>
        <v/>
      </c>
      <c r="Y41" s="23" t="str">
        <f>IF(W41="", "", Sheet3!H58)</f>
        <v/>
      </c>
      <c r="Z41" s="23" t="str">
        <f ca="1">IF(W41="", "", OFFSET(Data!$C$211, 2*Sheet3!B101, 0))</f>
        <v/>
      </c>
      <c r="AA41" s="23" t="str">
        <f ca="1">IF(W41="", "", OFFSET(Data!$E$211, 2*Sheet3!B101, 0))</f>
        <v/>
      </c>
    </row>
    <row r="42" spans="1:27" x14ac:dyDescent="0.2">
      <c r="A42" s="23" t="s">
        <v>253</v>
      </c>
      <c r="B42" s="24" t="s">
        <v>293</v>
      </c>
      <c r="C42" s="23" t="s">
        <v>239</v>
      </c>
      <c r="D42" s="23" t="s">
        <v>206</v>
      </c>
      <c r="E42" s="23">
        <v>7.6040000915527344</v>
      </c>
      <c r="F42" s="23">
        <v>45230.432067012465</v>
      </c>
      <c r="G42" s="23"/>
      <c r="H42" s="23" t="str">
        <f>IF('Paste Sample Names Here'!G44="", "", 'Paste Sample Names Here'!G44)</f>
        <v/>
      </c>
      <c r="I42" s="24" t="str">
        <f>IF('Paste Sample Names Here'!F44="", "", 'Paste Sample Names Here'!F44)</f>
        <v/>
      </c>
      <c r="J42" s="23" t="str">
        <f t="shared" si="0"/>
        <v/>
      </c>
      <c r="K42" s="23" t="str">
        <f>IF(I42="", "", Sheet3!H59)</f>
        <v/>
      </c>
      <c r="L42" s="23" t="str">
        <f ca="1">IF(I42="", "", OFFSET(Data!$C$19, 2*Sheet3!B102, 0))</f>
        <v/>
      </c>
      <c r="M42" s="23" t="str">
        <f ca="1">IF(I42="", "", OFFSET(Data!$E$19, 2*Sheet3!B102, 0))</f>
        <v/>
      </c>
      <c r="N42" s="32"/>
      <c r="O42" s="23" t="str">
        <f>IF('Paste Sample Names Here'!K44="", "", 'Paste Sample Names Here'!K44)</f>
        <v/>
      </c>
      <c r="P42" s="24" t="str">
        <f>IF('Paste Sample Names Here'!J44="", "", 'Paste Sample Names Here'!J44)</f>
        <v/>
      </c>
      <c r="Q42" s="23" t="str">
        <f t="shared" si="1"/>
        <v/>
      </c>
      <c r="R42" s="23" t="str">
        <f>IF(P42="", "", Sheet3!H59)</f>
        <v/>
      </c>
      <c r="S42" s="23" t="str">
        <f ca="1">IF(P42="", "", OFFSET(Data!$C$210, 2*Sheet3!B102, 0))</f>
        <v/>
      </c>
      <c r="T42" s="23" t="str">
        <f ca="1">IF(P42="", "", OFFSET(Data!$E$210, 2*Sheet3!B102, 0))</f>
        <v/>
      </c>
      <c r="U42" s="23"/>
      <c r="V42" s="23" t="str">
        <f>IF('Paste Sample Names Here'!O44="","", 'Paste Sample Names Here'!O44)</f>
        <v/>
      </c>
      <c r="W42" s="24" t="str">
        <f>IF('Paste Sample Names Here'!N44="", "",'Paste Sample Names Here'!N44)</f>
        <v/>
      </c>
      <c r="X42" s="23" t="str">
        <f t="shared" si="2"/>
        <v/>
      </c>
      <c r="Y42" s="23" t="str">
        <f>IF(W42="", "", Sheet3!H59)</f>
        <v/>
      </c>
      <c r="Z42" s="23" t="str">
        <f ca="1">IF(W42="", "", OFFSET(Data!$C$211, 2*Sheet3!B102, 0))</f>
        <v/>
      </c>
      <c r="AA42" s="23" t="str">
        <f ca="1">IF(W42="", "", OFFSET(Data!$E$211, 2*Sheet3!B102, 0))</f>
        <v/>
      </c>
    </row>
    <row r="43" spans="1:27" x14ac:dyDescent="0.2">
      <c r="A43" s="23" t="s">
        <v>253</v>
      </c>
      <c r="B43" s="24" t="s">
        <v>294</v>
      </c>
      <c r="C43" s="23" t="s">
        <v>239</v>
      </c>
      <c r="D43" s="23" t="s">
        <v>207</v>
      </c>
      <c r="E43" s="23">
        <v>7.8499999046325684</v>
      </c>
      <c r="F43" s="23">
        <v>38723.143687899741</v>
      </c>
      <c r="G43" s="23"/>
      <c r="H43" s="23" t="str">
        <f>IF('Paste Sample Names Here'!G45="", "", 'Paste Sample Names Here'!G45)</f>
        <v/>
      </c>
      <c r="I43" s="24" t="str">
        <f>IF('Paste Sample Names Here'!F45="", "", 'Paste Sample Names Here'!F45)</f>
        <v/>
      </c>
      <c r="J43" s="23" t="str">
        <f t="shared" si="0"/>
        <v/>
      </c>
      <c r="K43" s="23" t="str">
        <f>IF(I43="", "", Sheet3!H60)</f>
        <v/>
      </c>
      <c r="L43" s="23" t="str">
        <f ca="1">IF(I43="", "", OFFSET(Data!$C$19, 2*Sheet3!B103, 0))</f>
        <v/>
      </c>
      <c r="M43" s="23" t="str">
        <f ca="1">IF(I43="", "", OFFSET(Data!$E$19, 2*Sheet3!B103, 0))</f>
        <v/>
      </c>
      <c r="N43" s="32"/>
      <c r="O43" s="23" t="str">
        <f>IF('Paste Sample Names Here'!K45="", "", 'Paste Sample Names Here'!K45)</f>
        <v/>
      </c>
      <c r="P43" s="24" t="str">
        <f>IF('Paste Sample Names Here'!J45="", "", 'Paste Sample Names Here'!J45)</f>
        <v/>
      </c>
      <c r="Q43" s="23" t="str">
        <f t="shared" si="1"/>
        <v/>
      </c>
      <c r="R43" s="23" t="str">
        <f>IF(P43="", "", Sheet3!H60)</f>
        <v/>
      </c>
      <c r="S43" s="23" t="str">
        <f ca="1">IF(P43="", "", OFFSET(Data!$C$210, 2*Sheet3!B103, 0))</f>
        <v/>
      </c>
      <c r="T43" s="23" t="str">
        <f ca="1">IF(P43="", "", OFFSET(Data!$E$210, 2*Sheet3!B103, 0))</f>
        <v/>
      </c>
      <c r="U43" s="23"/>
      <c r="V43" s="23" t="str">
        <f>IF('Paste Sample Names Here'!O45="","", 'Paste Sample Names Here'!O45)</f>
        <v/>
      </c>
      <c r="W43" s="24" t="str">
        <f>IF('Paste Sample Names Here'!N45="", "",'Paste Sample Names Here'!N45)</f>
        <v/>
      </c>
      <c r="X43" s="23" t="str">
        <f t="shared" si="2"/>
        <v/>
      </c>
      <c r="Y43" s="23" t="str">
        <f>IF(W43="", "", Sheet3!H60)</f>
        <v/>
      </c>
      <c r="Z43" s="23" t="str">
        <f ca="1">IF(W43="", "", OFFSET(Data!$C$211, 2*Sheet3!B103, 0))</f>
        <v/>
      </c>
      <c r="AA43" s="23" t="str">
        <f ca="1">IF(W43="", "", OFFSET(Data!$E$211, 2*Sheet3!B103, 0))</f>
        <v/>
      </c>
    </row>
    <row r="44" spans="1:27" x14ac:dyDescent="0.2">
      <c r="A44" s="23" t="s">
        <v>253</v>
      </c>
      <c r="B44" s="24" t="s">
        <v>295</v>
      </c>
      <c r="C44" s="23" t="s">
        <v>239</v>
      </c>
      <c r="D44" s="23" t="s">
        <v>208</v>
      </c>
      <c r="E44" s="23">
        <v>7.7789998054504395</v>
      </c>
      <c r="F44" s="23">
        <v>40498.678250253179</v>
      </c>
      <c r="G44" s="23"/>
      <c r="H44" s="23" t="str">
        <f>IF('Paste Sample Names Here'!G46="", "", 'Paste Sample Names Here'!G46)</f>
        <v/>
      </c>
      <c r="I44" s="24" t="str">
        <f>IF('Paste Sample Names Here'!F46="", "", 'Paste Sample Names Here'!F46)</f>
        <v/>
      </c>
      <c r="J44" s="23" t="str">
        <f t="shared" si="0"/>
        <v/>
      </c>
      <c r="K44" s="23" t="str">
        <f>IF(I44="", "", Sheet3!H61)</f>
        <v/>
      </c>
      <c r="L44" s="23" t="str">
        <f ca="1">IF(I44="", "", OFFSET(Data!$C$19, 2*Sheet3!B104, 0))</f>
        <v/>
      </c>
      <c r="M44" s="23" t="str">
        <f ca="1">IF(I44="", "", OFFSET(Data!$E$19, 2*Sheet3!B104, 0))</f>
        <v/>
      </c>
      <c r="N44" s="32"/>
      <c r="O44" s="23" t="str">
        <f>IF('Paste Sample Names Here'!K46="", "", 'Paste Sample Names Here'!K46)</f>
        <v/>
      </c>
      <c r="P44" s="24" t="str">
        <f>IF('Paste Sample Names Here'!J46="", "", 'Paste Sample Names Here'!J46)</f>
        <v/>
      </c>
      <c r="Q44" s="23" t="str">
        <f t="shared" si="1"/>
        <v/>
      </c>
      <c r="R44" s="23" t="str">
        <f>IF(P44="", "", Sheet3!H61)</f>
        <v/>
      </c>
      <c r="S44" s="23" t="str">
        <f ca="1">IF(P44="", "", OFFSET(Data!$C$210, 2*Sheet3!B104, 0))</f>
        <v/>
      </c>
      <c r="T44" s="23" t="str">
        <f ca="1">IF(P44="", "", OFFSET(Data!$E$210, 2*Sheet3!B104, 0))</f>
        <v/>
      </c>
      <c r="U44" s="23"/>
      <c r="V44" s="23" t="str">
        <f>IF('Paste Sample Names Here'!O46="","", 'Paste Sample Names Here'!O46)</f>
        <v/>
      </c>
      <c r="W44" s="24" t="str">
        <f>IF('Paste Sample Names Here'!N46="", "",'Paste Sample Names Here'!N46)</f>
        <v/>
      </c>
      <c r="X44" s="23" t="str">
        <f t="shared" si="2"/>
        <v/>
      </c>
      <c r="Y44" s="23" t="str">
        <f>IF(W44="", "", Sheet3!H61)</f>
        <v/>
      </c>
      <c r="Z44" s="23" t="str">
        <f ca="1">IF(W44="", "", OFFSET(Data!$C$211, 2*Sheet3!B104, 0))</f>
        <v/>
      </c>
      <c r="AA44" s="23" t="str">
        <f ca="1">IF(W44="", "", OFFSET(Data!$E$211, 2*Sheet3!B104, 0))</f>
        <v/>
      </c>
    </row>
    <row r="45" spans="1:27" x14ac:dyDescent="0.2">
      <c r="A45" s="23" t="s">
        <v>253</v>
      </c>
      <c r="B45" s="24" t="s">
        <v>296</v>
      </c>
      <c r="C45" s="23" t="s">
        <v>239</v>
      </c>
      <c r="D45" s="23" t="s">
        <v>209</v>
      </c>
      <c r="E45" s="23">
        <v>8.4750003814697266</v>
      </c>
      <c r="F45" s="23">
        <v>26096.228313095726</v>
      </c>
      <c r="G45" s="23"/>
      <c r="H45" s="23" t="str">
        <f>IF('Paste Sample Names Here'!G47="", "", 'Paste Sample Names Here'!G47)</f>
        <v/>
      </c>
      <c r="I45" s="24" t="str">
        <f>IF('Paste Sample Names Here'!F47="", "", 'Paste Sample Names Here'!F47)</f>
        <v/>
      </c>
      <c r="J45" s="23" t="str">
        <f t="shared" si="0"/>
        <v/>
      </c>
      <c r="K45" s="23" t="str">
        <f>IF(I45="", "", Sheet3!H62)</f>
        <v/>
      </c>
      <c r="L45" s="23" t="str">
        <f ca="1">IF(I45="", "", OFFSET(Data!$C$19, 2*Sheet3!B105, 0))</f>
        <v/>
      </c>
      <c r="M45" s="23" t="str">
        <f ca="1">IF(I45="", "", OFFSET(Data!$E$19, 2*Sheet3!B105, 0))</f>
        <v/>
      </c>
      <c r="N45" s="32"/>
      <c r="O45" s="23" t="str">
        <f>IF('Paste Sample Names Here'!K47="", "", 'Paste Sample Names Here'!K47)</f>
        <v/>
      </c>
      <c r="P45" s="24" t="str">
        <f>IF('Paste Sample Names Here'!J47="", "", 'Paste Sample Names Here'!J47)</f>
        <v/>
      </c>
      <c r="Q45" s="23" t="str">
        <f t="shared" si="1"/>
        <v/>
      </c>
      <c r="R45" s="23" t="str">
        <f>IF(P45="", "", Sheet3!H62)</f>
        <v/>
      </c>
      <c r="S45" s="23" t="str">
        <f ca="1">IF(P45="", "", OFFSET(Data!$C$210, 2*Sheet3!B105, 0))</f>
        <v/>
      </c>
      <c r="T45" s="23" t="str">
        <f ca="1">IF(P45="", "", OFFSET(Data!$E$210, 2*Sheet3!B105, 0))</f>
        <v/>
      </c>
      <c r="U45" s="23"/>
      <c r="V45" s="23" t="str">
        <f>IF('Paste Sample Names Here'!O47="","", 'Paste Sample Names Here'!O47)</f>
        <v/>
      </c>
      <c r="W45" s="24" t="str">
        <f>IF('Paste Sample Names Here'!N47="", "",'Paste Sample Names Here'!N47)</f>
        <v/>
      </c>
      <c r="X45" s="23" t="str">
        <f t="shared" si="2"/>
        <v/>
      </c>
      <c r="Y45" s="23" t="str">
        <f>IF(W45="", "", Sheet3!H62)</f>
        <v/>
      </c>
      <c r="Z45" s="23" t="str">
        <f ca="1">IF(W45="", "", OFFSET(Data!$C$211, 2*Sheet3!B105, 0))</f>
        <v/>
      </c>
      <c r="AA45" s="23" t="str">
        <f ca="1">IF(W45="", "", OFFSET(Data!$E$211, 2*Sheet3!B105, 0))</f>
        <v/>
      </c>
    </row>
    <row r="46" spans="1:27" x14ac:dyDescent="0.2">
      <c r="A46" s="23" t="s">
        <v>253</v>
      </c>
      <c r="B46" s="24" t="s">
        <v>297</v>
      </c>
      <c r="C46" s="23" t="s">
        <v>239</v>
      </c>
      <c r="D46" s="23" t="s">
        <v>210</v>
      </c>
      <c r="E46" s="23">
        <v>8.1750001907348633</v>
      </c>
      <c r="F46" s="23">
        <v>31538.882979912607</v>
      </c>
      <c r="G46" s="23"/>
      <c r="H46" s="23" t="str">
        <f>IF('Paste Sample Names Here'!G48="", "", 'Paste Sample Names Here'!G48)</f>
        <v/>
      </c>
      <c r="I46" s="24" t="str">
        <f>IF('Paste Sample Names Here'!F48="", "", 'Paste Sample Names Here'!F48)</f>
        <v/>
      </c>
      <c r="J46" s="23" t="str">
        <f t="shared" si="0"/>
        <v/>
      </c>
      <c r="K46" s="23" t="str">
        <f>IF(I46="", "", Sheet3!H63)</f>
        <v/>
      </c>
      <c r="L46" s="23" t="str">
        <f ca="1">IF(I46="", "", OFFSET(Data!$C$19, 2*Sheet3!B106, 0))</f>
        <v/>
      </c>
      <c r="M46" s="23" t="str">
        <f ca="1">IF(I46="", "", OFFSET(Data!$E$19, 2*Sheet3!B106, 0))</f>
        <v/>
      </c>
      <c r="N46" s="32"/>
      <c r="O46" s="23" t="str">
        <f>IF('Paste Sample Names Here'!K48="", "", 'Paste Sample Names Here'!K48)</f>
        <v/>
      </c>
      <c r="P46" s="24" t="str">
        <f>IF('Paste Sample Names Here'!J48="", "", 'Paste Sample Names Here'!J48)</f>
        <v/>
      </c>
      <c r="Q46" s="23" t="str">
        <f t="shared" si="1"/>
        <v/>
      </c>
      <c r="R46" s="23" t="str">
        <f>IF(P46="", "", Sheet3!H63)</f>
        <v/>
      </c>
      <c r="S46" s="23" t="str">
        <f ca="1">IF(P46="", "", OFFSET(Data!$C$210, 2*Sheet3!B106, 0))</f>
        <v/>
      </c>
      <c r="T46" s="23" t="str">
        <f ca="1">IF(P46="", "", OFFSET(Data!$E$210, 2*Sheet3!B106, 0))</f>
        <v/>
      </c>
      <c r="U46" s="23"/>
      <c r="V46" s="23" t="str">
        <f>IF('Paste Sample Names Here'!O48="","", 'Paste Sample Names Here'!O48)</f>
        <v/>
      </c>
      <c r="W46" s="24" t="str">
        <f>IF('Paste Sample Names Here'!N48="", "",'Paste Sample Names Here'!N48)</f>
        <v/>
      </c>
      <c r="X46" s="23" t="str">
        <f t="shared" si="2"/>
        <v/>
      </c>
      <c r="Y46" s="23" t="str">
        <f>IF(W46="", "", Sheet3!H63)</f>
        <v/>
      </c>
      <c r="Z46" s="23" t="str">
        <f ca="1">IF(W46="", "", OFFSET(Data!$C$211, 2*Sheet3!B106, 0))</f>
        <v/>
      </c>
      <c r="AA46" s="23" t="str">
        <f ca="1">IF(W46="", "", OFFSET(Data!$E$211, 2*Sheet3!B106, 0))</f>
        <v/>
      </c>
    </row>
    <row r="47" spans="1:27" x14ac:dyDescent="0.2">
      <c r="A47" s="23" t="s">
        <v>253</v>
      </c>
      <c r="B47" s="24" t="s">
        <v>298</v>
      </c>
      <c r="C47" s="23" t="s">
        <v>239</v>
      </c>
      <c r="D47" s="23" t="s">
        <v>211</v>
      </c>
      <c r="E47" s="23">
        <v>7.3660001754760742</v>
      </c>
      <c r="F47" s="23">
        <v>52565.048123330642</v>
      </c>
      <c r="G47" s="23"/>
      <c r="H47" s="23" t="str">
        <f>IF('Paste Sample Names Here'!G49="", "", 'Paste Sample Names Here'!G49)</f>
        <v/>
      </c>
      <c r="I47" s="24" t="str">
        <f>IF('Paste Sample Names Here'!F49="", "", 'Paste Sample Names Here'!F49)</f>
        <v/>
      </c>
      <c r="J47" s="23" t="str">
        <f t="shared" si="0"/>
        <v/>
      </c>
      <c r="K47" s="23" t="str">
        <f>IF(I47="", "", Sheet3!H64)</f>
        <v/>
      </c>
      <c r="L47" s="23" t="str">
        <f ca="1">IF(I47="", "", OFFSET(Data!$C$19, 2*Sheet3!B107, 0))</f>
        <v/>
      </c>
      <c r="M47" s="23" t="str">
        <f ca="1">IF(I47="", "", OFFSET(Data!$E$19, 2*Sheet3!B107, 0))</f>
        <v/>
      </c>
      <c r="N47" s="32"/>
      <c r="O47" s="23" t="str">
        <f>IF('Paste Sample Names Here'!K49="", "", 'Paste Sample Names Here'!K49)</f>
        <v/>
      </c>
      <c r="P47" s="24" t="str">
        <f>IF('Paste Sample Names Here'!J49="", "", 'Paste Sample Names Here'!J49)</f>
        <v/>
      </c>
      <c r="Q47" s="23" t="str">
        <f t="shared" si="1"/>
        <v/>
      </c>
      <c r="R47" s="23" t="str">
        <f>IF(P47="", "", Sheet3!H64)</f>
        <v/>
      </c>
      <c r="S47" s="23" t="str">
        <f ca="1">IF(P47="", "", OFFSET(Data!$C$210, 2*Sheet3!B107, 0))</f>
        <v/>
      </c>
      <c r="T47" s="23" t="str">
        <f ca="1">IF(P47="", "", OFFSET(Data!$E$210, 2*Sheet3!B107, 0))</f>
        <v/>
      </c>
      <c r="U47" s="23"/>
      <c r="V47" s="23" t="str">
        <f>IF('Paste Sample Names Here'!O49="","", 'Paste Sample Names Here'!O49)</f>
        <v/>
      </c>
      <c r="W47" s="24" t="str">
        <f>IF('Paste Sample Names Here'!N49="", "",'Paste Sample Names Here'!N49)</f>
        <v/>
      </c>
      <c r="X47" s="23" t="str">
        <f t="shared" si="2"/>
        <v/>
      </c>
      <c r="Y47" s="23" t="str">
        <f>IF(W47="", "", Sheet3!H64)</f>
        <v/>
      </c>
      <c r="Z47" s="23" t="str">
        <f ca="1">IF(W47="", "", OFFSET(Data!$C$211, 2*Sheet3!B107, 0))</f>
        <v/>
      </c>
      <c r="AA47" s="23" t="str">
        <f ca="1">IF(W47="", "", OFFSET(Data!$E$211, 2*Sheet3!B107, 0))</f>
        <v/>
      </c>
    </row>
    <row r="48" spans="1:27" x14ac:dyDescent="0.2">
      <c r="A48" s="23" t="s">
        <v>253</v>
      </c>
      <c r="B48" s="24" t="s">
        <v>299</v>
      </c>
      <c r="C48" s="23" t="s">
        <v>239</v>
      </c>
      <c r="D48" s="23" t="s">
        <v>212</v>
      </c>
      <c r="E48" s="23">
        <v>8.4700002670288086</v>
      </c>
      <c r="F48" s="23">
        <v>26178.750652602826</v>
      </c>
      <c r="G48" s="23"/>
      <c r="H48" s="23" t="str">
        <f>IF('Paste Sample Names Here'!G50="", "", 'Paste Sample Names Here'!G50)</f>
        <v/>
      </c>
      <c r="I48" s="24" t="str">
        <f>IF('Paste Sample Names Here'!F50="", "", 'Paste Sample Names Here'!F50)</f>
        <v/>
      </c>
      <c r="J48" s="23" t="str">
        <f t="shared" si="0"/>
        <v/>
      </c>
      <c r="K48" s="23" t="str">
        <f>IF(I48="", "", Sheet3!H65)</f>
        <v/>
      </c>
      <c r="L48" s="23" t="str">
        <f ca="1">IF(I48="", "", OFFSET(Data!$C$19, 2*Sheet3!B108, 0))</f>
        <v/>
      </c>
      <c r="M48" s="23" t="str">
        <f ca="1">IF(I48="", "", OFFSET(Data!$E$19, 2*Sheet3!B108, 0))</f>
        <v/>
      </c>
      <c r="N48" s="32"/>
      <c r="O48" s="23" t="str">
        <f>IF('Paste Sample Names Here'!K50="", "", 'Paste Sample Names Here'!K50)</f>
        <v/>
      </c>
      <c r="P48" s="24" t="str">
        <f>IF('Paste Sample Names Here'!J50="", "", 'Paste Sample Names Here'!J50)</f>
        <v/>
      </c>
      <c r="Q48" s="23" t="str">
        <f t="shared" si="1"/>
        <v/>
      </c>
      <c r="R48" s="23" t="str">
        <f>IF(P48="", "", Sheet3!H65)</f>
        <v/>
      </c>
      <c r="S48" s="23" t="str">
        <f ca="1">IF(P48="", "", OFFSET(Data!$C$210, 2*Sheet3!B108, 0))</f>
        <v/>
      </c>
      <c r="T48" s="23" t="str">
        <f ca="1">IF(P48="", "", OFFSET(Data!$E$210, 2*Sheet3!B108, 0))</f>
        <v/>
      </c>
      <c r="U48" s="23"/>
      <c r="V48" s="23" t="str">
        <f>IF('Paste Sample Names Here'!O50="","", 'Paste Sample Names Here'!O50)</f>
        <v/>
      </c>
      <c r="W48" s="24" t="str">
        <f>IF('Paste Sample Names Here'!N50="", "",'Paste Sample Names Here'!N50)</f>
        <v/>
      </c>
      <c r="X48" s="23" t="str">
        <f t="shared" si="2"/>
        <v/>
      </c>
      <c r="Y48" s="23" t="str">
        <f>IF(W48="", "", Sheet3!H65)</f>
        <v/>
      </c>
      <c r="Z48" s="23" t="str">
        <f ca="1">IF(W48="", "", OFFSET(Data!$C$211, 2*Sheet3!B108, 0))</f>
        <v/>
      </c>
      <c r="AA48" s="23" t="str">
        <f ca="1">IF(W48="", "", OFFSET(Data!$E$211, 2*Sheet3!B108, 0))</f>
        <v/>
      </c>
    </row>
    <row r="49" spans="1:27" x14ac:dyDescent="0.2">
      <c r="A49" s="23" t="s">
        <v>253</v>
      </c>
      <c r="B49" s="24" t="s">
        <v>300</v>
      </c>
      <c r="C49" s="23" t="s">
        <v>239</v>
      </c>
      <c r="D49" s="23" t="s">
        <v>213</v>
      </c>
      <c r="E49" s="23">
        <v>7.2779998779296875</v>
      </c>
      <c r="F49" s="23">
        <v>55568.573074661363</v>
      </c>
      <c r="G49" s="23"/>
      <c r="H49" s="23" t="str">
        <f>IF('Paste Sample Names Here'!G51="", "", 'Paste Sample Names Here'!G51)</f>
        <v/>
      </c>
      <c r="I49" s="24" t="str">
        <f>IF('Paste Sample Names Here'!F51="", "", 'Paste Sample Names Here'!F51)</f>
        <v/>
      </c>
      <c r="J49" s="23" t="str">
        <f t="shared" si="0"/>
        <v/>
      </c>
      <c r="K49" s="23" t="str">
        <f>IF(I49="", "", Sheet3!H66)</f>
        <v/>
      </c>
      <c r="L49" s="23" t="str">
        <f ca="1">IF(I49="", "", OFFSET(Data!$C$19, 2*Sheet3!B109, 0))</f>
        <v/>
      </c>
      <c r="M49" s="23" t="str">
        <f ca="1">IF(I49="", "", OFFSET(Data!$E$19, 2*Sheet3!B109, 0))</f>
        <v/>
      </c>
      <c r="N49" s="32"/>
      <c r="O49" s="23" t="str">
        <f>IF('Paste Sample Names Here'!K51="", "", 'Paste Sample Names Here'!K51)</f>
        <v/>
      </c>
      <c r="P49" s="24" t="str">
        <f>IF('Paste Sample Names Here'!J51="", "", 'Paste Sample Names Here'!J51)</f>
        <v/>
      </c>
      <c r="Q49" s="23" t="str">
        <f t="shared" si="1"/>
        <v/>
      </c>
      <c r="R49" s="23" t="str">
        <f>IF(P49="", "", Sheet3!H66)</f>
        <v/>
      </c>
      <c r="S49" s="23" t="str">
        <f ca="1">IF(P49="", "", OFFSET(Data!$C$210, 2*Sheet3!B109, 0))</f>
        <v/>
      </c>
      <c r="T49" s="23" t="str">
        <f ca="1">IF(P49="", "", OFFSET(Data!$E$210, 2*Sheet3!B109, 0))</f>
        <v/>
      </c>
      <c r="U49" s="23"/>
      <c r="V49" s="23" t="str">
        <f>IF('Paste Sample Names Here'!O51="","", 'Paste Sample Names Here'!O51)</f>
        <v/>
      </c>
      <c r="W49" s="24" t="str">
        <f>IF('Paste Sample Names Here'!N51="", "",'Paste Sample Names Here'!N51)</f>
        <v/>
      </c>
      <c r="X49" s="23" t="str">
        <f t="shared" si="2"/>
        <v/>
      </c>
      <c r="Y49" s="23" t="str">
        <f>IF(W49="", "", Sheet3!H66)</f>
        <v/>
      </c>
      <c r="Z49" s="23" t="str">
        <f ca="1">IF(W49="", "", OFFSET(Data!$C$211, 2*Sheet3!B109, 0))</f>
        <v/>
      </c>
      <c r="AA49" s="23" t="str">
        <f ca="1">IF(W49="", "", OFFSET(Data!$E$211, 2*Sheet3!B109, 0))</f>
        <v/>
      </c>
    </row>
    <row r="50" spans="1:27" x14ac:dyDescent="0.2">
      <c r="A50" s="23" t="s">
        <v>253</v>
      </c>
      <c r="B50" s="24" t="s">
        <v>301</v>
      </c>
      <c r="C50" s="23" t="s">
        <v>239</v>
      </c>
      <c r="D50" s="23" t="s">
        <v>214</v>
      </c>
      <c r="E50" s="23">
        <v>7.6389999389648438</v>
      </c>
      <c r="F50" s="23">
        <v>44241.79969537432</v>
      </c>
      <c r="G50" s="23"/>
      <c r="H50" s="23" t="str">
        <f>IF('Paste Sample Names Here'!G52="", "", 'Paste Sample Names Here'!G52)</f>
        <v/>
      </c>
      <c r="I50" s="24" t="str">
        <f>IF('Paste Sample Names Here'!F52="", "", 'Paste Sample Names Here'!F52)</f>
        <v/>
      </c>
      <c r="J50" s="23" t="str">
        <f t="shared" si="0"/>
        <v/>
      </c>
      <c r="K50" s="23" t="str">
        <f>IF(I50="", "", Sheet3!H67)</f>
        <v/>
      </c>
      <c r="L50" s="23" t="str">
        <f ca="1">IF(I50="", "", OFFSET(Data!$C$19, 2*Sheet3!B110, 0))</f>
        <v/>
      </c>
      <c r="M50" s="23" t="str">
        <f ca="1">IF(I50="", "", OFFSET(Data!$E$19, 2*Sheet3!B110, 0))</f>
        <v/>
      </c>
      <c r="N50" s="32"/>
      <c r="O50" s="23" t="str">
        <f>IF('Paste Sample Names Here'!K52="", "", 'Paste Sample Names Here'!K52)</f>
        <v/>
      </c>
      <c r="P50" s="24" t="str">
        <f>IF('Paste Sample Names Here'!J52="", "", 'Paste Sample Names Here'!J52)</f>
        <v/>
      </c>
      <c r="Q50" s="23" t="str">
        <f t="shared" si="1"/>
        <v/>
      </c>
      <c r="R50" s="23" t="str">
        <f>IF(P50="", "", Sheet3!H67)</f>
        <v/>
      </c>
      <c r="S50" s="23" t="str">
        <f ca="1">IF(P50="", "", OFFSET(Data!$C$210, 2*Sheet3!B110, 0))</f>
        <v/>
      </c>
      <c r="T50" s="23" t="str">
        <f ca="1">IF(P50="", "", OFFSET(Data!$E$210, 2*Sheet3!B110, 0))</f>
        <v/>
      </c>
      <c r="U50" s="23"/>
      <c r="V50" s="23" t="str">
        <f>IF('Paste Sample Names Here'!O52="","", 'Paste Sample Names Here'!O52)</f>
        <v/>
      </c>
      <c r="W50" s="24" t="str">
        <f>IF('Paste Sample Names Here'!N52="", "",'Paste Sample Names Here'!N52)</f>
        <v/>
      </c>
      <c r="X50" s="23" t="str">
        <f t="shared" si="2"/>
        <v/>
      </c>
      <c r="Y50" s="23" t="str">
        <f>IF(W50="", "", Sheet3!H67)</f>
        <v/>
      </c>
      <c r="Z50" s="23" t="str">
        <f ca="1">IF(W50="", "", OFFSET(Data!$C$211, 2*Sheet3!B110, 0))</f>
        <v/>
      </c>
      <c r="AA50" s="23" t="str">
        <f ca="1">IF(W50="", "", OFFSET(Data!$E$211, 2*Sheet3!B110, 0))</f>
        <v/>
      </c>
    </row>
    <row r="51" spans="1:27" x14ac:dyDescent="0.2">
      <c r="A51" s="23" t="s">
        <v>253</v>
      </c>
      <c r="B51" s="24" t="s">
        <v>302</v>
      </c>
      <c r="C51" s="23" t="s">
        <v>239</v>
      </c>
      <c r="D51" s="23" t="s">
        <v>215</v>
      </c>
      <c r="E51" s="23">
        <v>5.7579998970031738</v>
      </c>
      <c r="F51" s="23">
        <v>145096.30997358164</v>
      </c>
      <c r="G51" s="23"/>
      <c r="H51" s="23" t="str">
        <f>IF('Paste Sample Names Here'!G53="", "", 'Paste Sample Names Here'!G53)</f>
        <v/>
      </c>
      <c r="I51" s="24" t="str">
        <f>IF('Paste Sample Names Here'!F53="", "", 'Paste Sample Names Here'!F53)</f>
        <v/>
      </c>
      <c r="J51" s="23" t="str">
        <f t="shared" si="0"/>
        <v/>
      </c>
      <c r="K51" s="23" t="str">
        <f>IF(I51="", "", Sheet3!H68)</f>
        <v/>
      </c>
      <c r="L51" s="23" t="str">
        <f ca="1">IF(I51="", "", OFFSET(Data!$C$19, 2*Sheet3!B111, 0))</f>
        <v/>
      </c>
      <c r="M51" s="23" t="str">
        <f ca="1">IF(I51="", "", OFFSET(Data!$E$19, 2*Sheet3!B111, 0))</f>
        <v/>
      </c>
      <c r="N51" s="32"/>
      <c r="O51" s="23" t="str">
        <f>IF('Paste Sample Names Here'!K53="", "", 'Paste Sample Names Here'!K53)</f>
        <v/>
      </c>
      <c r="P51" s="24" t="str">
        <f>IF('Paste Sample Names Here'!J53="", "", 'Paste Sample Names Here'!J53)</f>
        <v/>
      </c>
      <c r="Q51" s="23" t="str">
        <f t="shared" si="1"/>
        <v/>
      </c>
      <c r="R51" s="23" t="str">
        <f>IF(P51="", "", Sheet3!H68)</f>
        <v/>
      </c>
      <c r="S51" s="23" t="str">
        <f ca="1">IF(P51="", "", OFFSET(Data!$C$210, 2*Sheet3!B111, 0))</f>
        <v/>
      </c>
      <c r="T51" s="23" t="str">
        <f ca="1">IF(P51="", "", OFFSET(Data!$E$210, 2*Sheet3!B111, 0))</f>
        <v/>
      </c>
      <c r="U51" s="23"/>
      <c r="V51" s="23" t="str">
        <f>IF('Paste Sample Names Here'!O53="","", 'Paste Sample Names Here'!O53)</f>
        <v/>
      </c>
      <c r="W51" s="24" t="str">
        <f>IF('Paste Sample Names Here'!N53="", "",'Paste Sample Names Here'!N53)</f>
        <v/>
      </c>
      <c r="X51" s="23" t="str">
        <f t="shared" si="2"/>
        <v/>
      </c>
      <c r="Y51" s="23" t="str">
        <f>IF(W51="", "", Sheet3!H68)</f>
        <v/>
      </c>
      <c r="Z51" s="23" t="str">
        <f ca="1">IF(W51="", "", OFFSET(Data!$C$211, 2*Sheet3!B111, 0))</f>
        <v/>
      </c>
      <c r="AA51" s="23" t="str">
        <f ca="1">IF(W51="", "", OFFSET(Data!$E$211, 2*Sheet3!B111, 0))</f>
        <v/>
      </c>
    </row>
    <row r="52" spans="1:27" x14ac:dyDescent="0.2">
      <c r="A52" s="23" t="s">
        <v>253</v>
      </c>
      <c r="B52" s="24" t="s">
        <v>303</v>
      </c>
      <c r="C52" s="23" t="s">
        <v>239</v>
      </c>
      <c r="D52" s="23" t="s">
        <v>216</v>
      </c>
      <c r="E52" s="23">
        <v>5.7399997711181641</v>
      </c>
      <c r="F52" s="23">
        <v>146754.86695756795</v>
      </c>
      <c r="G52" s="23"/>
      <c r="H52" s="23" t="str">
        <f>IF('Paste Sample Names Here'!G54="", "", 'Paste Sample Names Here'!G54)</f>
        <v/>
      </c>
      <c r="I52" s="24" t="str">
        <f>IF('Paste Sample Names Here'!F54="", "", 'Paste Sample Names Here'!F54)</f>
        <v/>
      </c>
      <c r="J52" s="23" t="str">
        <f t="shared" si="0"/>
        <v/>
      </c>
      <c r="K52" s="23" t="str">
        <f>IF(I52="", "", Sheet3!H69)</f>
        <v/>
      </c>
      <c r="L52" s="23" t="str">
        <f ca="1">IF(I52="", "", OFFSET(Data!$C$19, 2*Sheet3!B112, 0))</f>
        <v/>
      </c>
      <c r="M52" s="23" t="str">
        <f ca="1">IF(I52="", "", OFFSET(Data!$E$19, 2*Sheet3!B112, 0))</f>
        <v/>
      </c>
      <c r="N52" s="32"/>
      <c r="O52" s="23" t="str">
        <f>IF('Paste Sample Names Here'!K54="", "", 'Paste Sample Names Here'!K54)</f>
        <v/>
      </c>
      <c r="P52" s="24" t="str">
        <f>IF('Paste Sample Names Here'!J54="", "", 'Paste Sample Names Here'!J54)</f>
        <v/>
      </c>
      <c r="Q52" s="23" t="str">
        <f t="shared" si="1"/>
        <v/>
      </c>
      <c r="R52" s="23" t="str">
        <f>IF(P52="", "", Sheet3!H69)</f>
        <v/>
      </c>
      <c r="S52" s="23" t="str">
        <f ca="1">IF(P52="", "", OFFSET(Data!$C$210, 2*Sheet3!B112, 0))</f>
        <v/>
      </c>
      <c r="T52" s="23" t="str">
        <f ca="1">IF(P52="", "", OFFSET(Data!$E$210, 2*Sheet3!B112, 0))</f>
        <v/>
      </c>
      <c r="U52" s="23"/>
      <c r="V52" s="23" t="str">
        <f>IF('Paste Sample Names Here'!O54="","", 'Paste Sample Names Here'!O54)</f>
        <v/>
      </c>
      <c r="W52" s="24" t="str">
        <f>IF('Paste Sample Names Here'!N54="", "",'Paste Sample Names Here'!N54)</f>
        <v/>
      </c>
      <c r="X52" s="23" t="str">
        <f t="shared" si="2"/>
        <v/>
      </c>
      <c r="Y52" s="23" t="str">
        <f>IF(W52="", "", Sheet3!H69)</f>
        <v/>
      </c>
      <c r="Z52" s="23" t="str">
        <f ca="1">IF(W52="", "", OFFSET(Data!$C$211, 2*Sheet3!B112, 0))</f>
        <v/>
      </c>
      <c r="AA52" s="23" t="str">
        <f ca="1">IF(W52="", "", OFFSET(Data!$E$211, 2*Sheet3!B112, 0))</f>
        <v/>
      </c>
    </row>
    <row r="53" spans="1:27" x14ac:dyDescent="0.2">
      <c r="A53" s="23" t="s">
        <v>253</v>
      </c>
      <c r="B53" s="24" t="s">
        <v>304</v>
      </c>
      <c r="C53" s="23" t="s">
        <v>239</v>
      </c>
      <c r="D53" s="23" t="s">
        <v>217</v>
      </c>
      <c r="E53" s="23">
        <v>7.9780001640319824</v>
      </c>
      <c r="F53" s="23">
        <v>35716.533770827889</v>
      </c>
      <c r="G53" s="23"/>
      <c r="H53" s="23" t="str">
        <f>IF('Paste Sample Names Here'!G55="", "", 'Paste Sample Names Here'!G55)</f>
        <v/>
      </c>
      <c r="I53" s="24" t="str">
        <f>IF('Paste Sample Names Here'!F55="", "", 'Paste Sample Names Here'!F55)</f>
        <v/>
      </c>
      <c r="J53" s="23" t="str">
        <f t="shared" si="0"/>
        <v/>
      </c>
      <c r="K53" s="23" t="str">
        <f>IF(I53="", "", Sheet3!H70)</f>
        <v/>
      </c>
      <c r="L53" s="23" t="str">
        <f ca="1">IF(I53="", "", OFFSET(Data!$C$19, 2*Sheet3!B113, 0))</f>
        <v/>
      </c>
      <c r="M53" s="23" t="str">
        <f ca="1">IF(I53="", "", OFFSET(Data!$E$19, 2*Sheet3!B113, 0))</f>
        <v/>
      </c>
      <c r="N53" s="32"/>
      <c r="O53" s="23" t="str">
        <f>IF('Paste Sample Names Here'!K55="", "", 'Paste Sample Names Here'!K55)</f>
        <v/>
      </c>
      <c r="P53" s="24" t="str">
        <f>IF('Paste Sample Names Here'!J55="", "", 'Paste Sample Names Here'!J55)</f>
        <v/>
      </c>
      <c r="Q53" s="23" t="str">
        <f t="shared" si="1"/>
        <v/>
      </c>
      <c r="R53" s="23" t="str">
        <f>IF(P53="", "", Sheet3!H70)</f>
        <v/>
      </c>
      <c r="S53" s="23" t="str">
        <f ca="1">IF(P53="", "", OFFSET(Data!$C$210, 2*Sheet3!B113, 0))</f>
        <v/>
      </c>
      <c r="T53" s="23" t="str">
        <f ca="1">IF(P53="", "", OFFSET(Data!$E$210, 2*Sheet3!B113, 0))</f>
        <v/>
      </c>
      <c r="U53" s="23"/>
      <c r="V53" s="23" t="str">
        <f>IF('Paste Sample Names Here'!O55="","", 'Paste Sample Names Here'!O55)</f>
        <v/>
      </c>
      <c r="W53" s="24" t="str">
        <f>IF('Paste Sample Names Here'!N55="", "",'Paste Sample Names Here'!N55)</f>
        <v/>
      </c>
      <c r="X53" s="23" t="str">
        <f t="shared" si="2"/>
        <v/>
      </c>
      <c r="Y53" s="23" t="str">
        <f>IF(W53="", "", Sheet3!H70)</f>
        <v/>
      </c>
      <c r="Z53" s="23" t="str">
        <f ca="1">IF(W53="", "", OFFSET(Data!$C$211, 2*Sheet3!B113, 0))</f>
        <v/>
      </c>
      <c r="AA53" s="23" t="str">
        <f ca="1">IF(W53="", "", OFFSET(Data!$E$211, 2*Sheet3!B113, 0))</f>
        <v/>
      </c>
    </row>
    <row r="54" spans="1:27" x14ac:dyDescent="0.2">
      <c r="A54" s="23" t="s">
        <v>253</v>
      </c>
      <c r="B54" s="24" t="s">
        <v>305</v>
      </c>
      <c r="C54" s="23" t="s">
        <v>239</v>
      </c>
      <c r="D54" s="23" t="s">
        <v>218</v>
      </c>
      <c r="E54" s="23">
        <v>7.0900001525878906</v>
      </c>
      <c r="F54" s="23">
        <v>62572.58598868586</v>
      </c>
      <c r="G54" s="23"/>
      <c r="H54" s="23" t="str">
        <f>IF('Paste Sample Names Here'!G56="", "", 'Paste Sample Names Here'!G56)</f>
        <v/>
      </c>
      <c r="I54" s="24" t="str">
        <f>IF('Paste Sample Names Here'!F56="", "", 'Paste Sample Names Here'!F56)</f>
        <v/>
      </c>
      <c r="J54" s="23" t="str">
        <f t="shared" si="0"/>
        <v/>
      </c>
      <c r="K54" s="23" t="str">
        <f>IF(I54="", "", Sheet3!H71)</f>
        <v/>
      </c>
      <c r="L54" s="23" t="str">
        <f ca="1">IF(I54="", "", OFFSET(Data!$C$19, 2*Sheet3!B114, 0))</f>
        <v/>
      </c>
      <c r="M54" s="23" t="str">
        <f ca="1">IF(I54="", "", OFFSET(Data!$E$19, 2*Sheet3!B114, 0))</f>
        <v/>
      </c>
      <c r="N54" s="32"/>
      <c r="O54" s="23" t="str">
        <f>IF('Paste Sample Names Here'!K56="", "", 'Paste Sample Names Here'!K56)</f>
        <v/>
      </c>
      <c r="P54" s="24" t="str">
        <f>IF('Paste Sample Names Here'!J56="", "", 'Paste Sample Names Here'!J56)</f>
        <v/>
      </c>
      <c r="Q54" s="23" t="str">
        <f t="shared" si="1"/>
        <v/>
      </c>
      <c r="R54" s="23" t="str">
        <f>IF(P54="", "", Sheet3!H71)</f>
        <v/>
      </c>
      <c r="S54" s="23" t="str">
        <f ca="1">IF(P54="", "", OFFSET(Data!$C$210, 2*Sheet3!B114, 0))</f>
        <v/>
      </c>
      <c r="T54" s="23" t="str">
        <f ca="1">IF(P54="", "", OFFSET(Data!$E$210, 2*Sheet3!B114, 0))</f>
        <v/>
      </c>
      <c r="U54" s="23"/>
      <c r="V54" s="23" t="str">
        <f>IF('Paste Sample Names Here'!O56="","", 'Paste Sample Names Here'!O56)</f>
        <v/>
      </c>
      <c r="W54" s="24" t="str">
        <f>IF('Paste Sample Names Here'!N56="", "",'Paste Sample Names Here'!N56)</f>
        <v/>
      </c>
      <c r="X54" s="23" t="str">
        <f t="shared" si="2"/>
        <v/>
      </c>
      <c r="Y54" s="23" t="str">
        <f>IF(W54="", "", Sheet3!H71)</f>
        <v/>
      </c>
      <c r="Z54" s="23" t="str">
        <f ca="1">IF(W54="", "", OFFSET(Data!$C$211, 2*Sheet3!B114, 0))</f>
        <v/>
      </c>
      <c r="AA54" s="23" t="str">
        <f ca="1">IF(W54="", "", OFFSET(Data!$E$211, 2*Sheet3!B114, 0))</f>
        <v/>
      </c>
    </row>
    <row r="55" spans="1:27" x14ac:dyDescent="0.2">
      <c r="A55" s="23" t="s">
        <v>306</v>
      </c>
      <c r="B55" s="24" t="s">
        <v>306</v>
      </c>
      <c r="C55" s="23" t="s">
        <v>306</v>
      </c>
      <c r="D55" s="23" t="s">
        <v>306</v>
      </c>
      <c r="E55" s="23" t="s">
        <v>306</v>
      </c>
      <c r="F55" s="23" t="s">
        <v>306</v>
      </c>
      <c r="G55" s="23"/>
      <c r="H55" s="23" t="str">
        <f>IF('Paste Sample Names Here'!G57="", "", 'Paste Sample Names Here'!G57)</f>
        <v/>
      </c>
      <c r="I55" s="24" t="str">
        <f>IF('Paste Sample Names Here'!F57="", "", 'Paste Sample Names Here'!F57)</f>
        <v/>
      </c>
      <c r="J55" s="23" t="str">
        <f t="shared" si="0"/>
        <v/>
      </c>
      <c r="K55" s="23" t="str">
        <f>IF(I55="", "", Sheet3!H72)</f>
        <v/>
      </c>
      <c r="L55" s="23" t="str">
        <f ca="1">IF(I55="", "", OFFSET(Data!$C$19, 2*Sheet3!B115, 0))</f>
        <v/>
      </c>
      <c r="M55" s="23" t="str">
        <f ca="1">IF(I55="", "", OFFSET(Data!$E$19, 2*Sheet3!B115, 0))</f>
        <v/>
      </c>
      <c r="N55" s="32"/>
      <c r="O55" s="23" t="str">
        <f>IF('Paste Sample Names Here'!K57="", "", 'Paste Sample Names Here'!K57)</f>
        <v/>
      </c>
      <c r="P55" s="24" t="str">
        <f>IF('Paste Sample Names Here'!J57="", "", 'Paste Sample Names Here'!J57)</f>
        <v/>
      </c>
      <c r="Q55" s="23" t="str">
        <f t="shared" si="1"/>
        <v/>
      </c>
      <c r="R55" s="23" t="str">
        <f>IF(P55="", "", Sheet3!H72)</f>
        <v/>
      </c>
      <c r="S55" s="23" t="str">
        <f ca="1">IF(P55="", "", OFFSET(Data!$C$210, 2*Sheet3!B115, 0))</f>
        <v/>
      </c>
      <c r="T55" s="23" t="str">
        <f ca="1">IF(P55="", "", OFFSET(Data!$E$210, 2*Sheet3!B115, 0))</f>
        <v/>
      </c>
      <c r="U55" s="23"/>
      <c r="V55" s="23" t="str">
        <f>IF('Paste Sample Names Here'!O57="","", 'Paste Sample Names Here'!O57)</f>
        <v/>
      </c>
      <c r="W55" s="24" t="str">
        <f>IF('Paste Sample Names Here'!N57="", "",'Paste Sample Names Here'!N57)</f>
        <v/>
      </c>
      <c r="X55" s="23" t="str">
        <f t="shared" si="2"/>
        <v/>
      </c>
      <c r="Y55" s="23" t="str">
        <f>IF(W55="", "", Sheet3!H72)</f>
        <v/>
      </c>
      <c r="Z55" s="23" t="str">
        <f ca="1">IF(W55="", "", OFFSET(Data!$C$211, 2*Sheet3!B115, 0))</f>
        <v/>
      </c>
      <c r="AA55" s="23" t="str">
        <f ca="1">IF(W55="", "", OFFSET(Data!$E$211, 2*Sheet3!B115, 0))</f>
        <v/>
      </c>
    </row>
    <row r="56" spans="1:27" x14ac:dyDescent="0.2">
      <c r="A56" s="23" t="s">
        <v>306</v>
      </c>
      <c r="B56" s="24" t="s">
        <v>306</v>
      </c>
      <c r="C56" s="23" t="s">
        <v>306</v>
      </c>
      <c r="D56" s="23" t="s">
        <v>306</v>
      </c>
      <c r="E56" s="23" t="s">
        <v>306</v>
      </c>
      <c r="F56" s="23" t="s">
        <v>306</v>
      </c>
      <c r="G56" s="23"/>
      <c r="H56" s="23" t="str">
        <f>IF('Paste Sample Names Here'!G58="", "", 'Paste Sample Names Here'!G58)</f>
        <v/>
      </c>
      <c r="I56" s="24" t="str">
        <f>IF('Paste Sample Names Here'!F58="", "", 'Paste Sample Names Here'!F58)</f>
        <v/>
      </c>
      <c r="J56" s="23" t="str">
        <f t="shared" si="0"/>
        <v/>
      </c>
      <c r="K56" s="23" t="str">
        <f>IF(I56="", "", Sheet3!H73)</f>
        <v/>
      </c>
      <c r="L56" s="23" t="str">
        <f ca="1">IF(I56="", "", OFFSET(Data!$C$19, 2*Sheet3!B116, 0))</f>
        <v/>
      </c>
      <c r="M56" s="23" t="str">
        <f ca="1">IF(I56="", "", OFFSET(Data!$E$19, 2*Sheet3!B116, 0))</f>
        <v/>
      </c>
      <c r="N56" s="32"/>
      <c r="O56" s="23" t="str">
        <f>IF('Paste Sample Names Here'!K58="", "", 'Paste Sample Names Here'!K58)</f>
        <v/>
      </c>
      <c r="P56" s="24" t="str">
        <f>IF('Paste Sample Names Here'!J58="", "", 'Paste Sample Names Here'!J58)</f>
        <v/>
      </c>
      <c r="Q56" s="23" t="str">
        <f t="shared" si="1"/>
        <v/>
      </c>
      <c r="R56" s="23" t="str">
        <f>IF(P56="", "", Sheet3!H73)</f>
        <v/>
      </c>
      <c r="S56" s="23" t="str">
        <f ca="1">IF(P56="", "", OFFSET(Data!$C$210, 2*Sheet3!B116, 0))</f>
        <v/>
      </c>
      <c r="T56" s="23" t="str">
        <f ca="1">IF(P56="", "", OFFSET(Data!$E$210, 2*Sheet3!B116, 0))</f>
        <v/>
      </c>
      <c r="U56" s="23"/>
      <c r="V56" s="23" t="str">
        <f>IF('Paste Sample Names Here'!O58="","", 'Paste Sample Names Here'!O58)</f>
        <v/>
      </c>
      <c r="W56" s="24" t="str">
        <f>IF('Paste Sample Names Here'!N58="", "",'Paste Sample Names Here'!N58)</f>
        <v/>
      </c>
      <c r="X56" s="23" t="str">
        <f t="shared" si="2"/>
        <v/>
      </c>
      <c r="Y56" s="23" t="str">
        <f>IF(W56="", "", Sheet3!H73)</f>
        <v/>
      </c>
      <c r="Z56" s="23" t="str">
        <f ca="1">IF(W56="", "", OFFSET(Data!$C$211, 2*Sheet3!B116, 0))</f>
        <v/>
      </c>
      <c r="AA56" s="23" t="str">
        <f ca="1">IF(W56="", "", OFFSET(Data!$E$211, 2*Sheet3!B116, 0))</f>
        <v/>
      </c>
    </row>
    <row r="57" spans="1:27" x14ac:dyDescent="0.2">
      <c r="A57" s="23" t="s">
        <v>306</v>
      </c>
      <c r="B57" s="24" t="s">
        <v>306</v>
      </c>
      <c r="C57" s="23" t="s">
        <v>306</v>
      </c>
      <c r="D57" s="23" t="s">
        <v>306</v>
      </c>
      <c r="E57" s="23" t="s">
        <v>306</v>
      </c>
      <c r="F57" s="23" t="s">
        <v>306</v>
      </c>
      <c r="G57" s="23"/>
      <c r="H57" s="23" t="str">
        <f>IF('Paste Sample Names Here'!G59="", "", 'Paste Sample Names Here'!G59)</f>
        <v/>
      </c>
      <c r="I57" s="24" t="str">
        <f>IF('Paste Sample Names Here'!F59="", "", 'Paste Sample Names Here'!F59)</f>
        <v/>
      </c>
      <c r="J57" s="23" t="str">
        <f t="shared" si="0"/>
        <v/>
      </c>
      <c r="K57" s="23" t="str">
        <f>IF(I57="", "", Sheet3!H74)</f>
        <v/>
      </c>
      <c r="L57" s="23" t="str">
        <f ca="1">IF(I57="", "", OFFSET(Data!$C$19, 2*Sheet3!B117, 0))</f>
        <v/>
      </c>
      <c r="M57" s="23" t="str">
        <f ca="1">IF(I57="", "", OFFSET(Data!$E$19, 2*Sheet3!B117, 0))</f>
        <v/>
      </c>
      <c r="N57" s="32"/>
      <c r="O57" s="23" t="str">
        <f>IF('Paste Sample Names Here'!K59="", "", 'Paste Sample Names Here'!K59)</f>
        <v/>
      </c>
      <c r="P57" s="24" t="str">
        <f>IF('Paste Sample Names Here'!J59="", "", 'Paste Sample Names Here'!J59)</f>
        <v/>
      </c>
      <c r="Q57" s="23" t="str">
        <f t="shared" si="1"/>
        <v/>
      </c>
      <c r="R57" s="23" t="str">
        <f>IF(P57="", "", Sheet3!H74)</f>
        <v/>
      </c>
      <c r="S57" s="23" t="str">
        <f ca="1">IF(P57="", "", OFFSET(Data!$C$210, 2*Sheet3!B117, 0))</f>
        <v/>
      </c>
      <c r="T57" s="23" t="str">
        <f ca="1">IF(P57="", "", OFFSET(Data!$E$210, 2*Sheet3!B117, 0))</f>
        <v/>
      </c>
      <c r="U57" s="23"/>
      <c r="V57" s="23" t="str">
        <f>IF('Paste Sample Names Here'!O59="","", 'Paste Sample Names Here'!O59)</f>
        <v/>
      </c>
      <c r="W57" s="24" t="str">
        <f>IF('Paste Sample Names Here'!N59="", "",'Paste Sample Names Here'!N59)</f>
        <v/>
      </c>
      <c r="X57" s="23" t="str">
        <f t="shared" si="2"/>
        <v/>
      </c>
      <c r="Y57" s="23" t="str">
        <f>IF(W57="", "", Sheet3!H74)</f>
        <v/>
      </c>
      <c r="Z57" s="23" t="str">
        <f ca="1">IF(W57="", "", OFFSET(Data!$C$211, 2*Sheet3!B117, 0))</f>
        <v/>
      </c>
      <c r="AA57" s="23" t="str">
        <f ca="1">IF(W57="", "", OFFSET(Data!$E$211, 2*Sheet3!B117, 0))</f>
        <v/>
      </c>
    </row>
    <row r="58" spans="1:27" x14ac:dyDescent="0.2">
      <c r="A58" s="23" t="s">
        <v>306</v>
      </c>
      <c r="B58" s="24" t="s">
        <v>306</v>
      </c>
      <c r="C58" s="23" t="s">
        <v>306</v>
      </c>
      <c r="D58" s="23" t="s">
        <v>306</v>
      </c>
      <c r="E58" s="23" t="s">
        <v>306</v>
      </c>
      <c r="F58" s="23" t="s">
        <v>306</v>
      </c>
      <c r="G58" s="23"/>
      <c r="H58" s="23" t="str">
        <f>IF('Paste Sample Names Here'!G60="", "", 'Paste Sample Names Here'!G60)</f>
        <v/>
      </c>
      <c r="I58" s="24" t="str">
        <f>IF('Paste Sample Names Here'!F60="", "", 'Paste Sample Names Here'!F60)</f>
        <v/>
      </c>
      <c r="J58" s="23" t="str">
        <f t="shared" si="0"/>
        <v/>
      </c>
      <c r="K58" s="23" t="str">
        <f>IF(I58="", "", Sheet3!H75)</f>
        <v/>
      </c>
      <c r="L58" s="23" t="str">
        <f ca="1">IF(I58="", "", OFFSET(Data!$C$19, 2*Sheet3!B118, 0))</f>
        <v/>
      </c>
      <c r="M58" s="23" t="str">
        <f ca="1">IF(I58="", "", OFFSET(Data!$E$19, 2*Sheet3!B118, 0))</f>
        <v/>
      </c>
      <c r="N58" s="32"/>
      <c r="O58" s="23" t="str">
        <f>IF('Paste Sample Names Here'!K60="", "", 'Paste Sample Names Here'!K60)</f>
        <v/>
      </c>
      <c r="P58" s="24" t="str">
        <f>IF('Paste Sample Names Here'!J60="", "", 'Paste Sample Names Here'!J60)</f>
        <v/>
      </c>
      <c r="Q58" s="23" t="str">
        <f t="shared" si="1"/>
        <v/>
      </c>
      <c r="R58" s="23" t="str">
        <f>IF(P58="", "", Sheet3!H75)</f>
        <v/>
      </c>
      <c r="S58" s="23" t="str">
        <f ca="1">IF(P58="", "", OFFSET(Data!$C$210, 2*Sheet3!B118, 0))</f>
        <v/>
      </c>
      <c r="T58" s="23" t="str">
        <f ca="1">IF(P58="", "", OFFSET(Data!$E$210, 2*Sheet3!B118, 0))</f>
        <v/>
      </c>
      <c r="U58" s="23"/>
      <c r="V58" s="23" t="str">
        <f>IF('Paste Sample Names Here'!O60="","", 'Paste Sample Names Here'!O60)</f>
        <v/>
      </c>
      <c r="W58" s="24" t="str">
        <f>IF('Paste Sample Names Here'!N60="", "",'Paste Sample Names Here'!N60)</f>
        <v/>
      </c>
      <c r="X58" s="23" t="str">
        <f t="shared" si="2"/>
        <v/>
      </c>
      <c r="Y58" s="23" t="str">
        <f>IF(W58="", "", Sheet3!H75)</f>
        <v/>
      </c>
      <c r="Z58" s="23" t="str">
        <f ca="1">IF(W58="", "", OFFSET(Data!$C$211, 2*Sheet3!B118, 0))</f>
        <v/>
      </c>
      <c r="AA58" s="23" t="str">
        <f ca="1">IF(W58="", "", OFFSET(Data!$E$211, 2*Sheet3!B118, 0))</f>
        <v/>
      </c>
    </row>
    <row r="59" spans="1:27" x14ac:dyDescent="0.2">
      <c r="A59" s="23" t="s">
        <v>253</v>
      </c>
      <c r="B59" s="24" t="s">
        <v>307</v>
      </c>
      <c r="C59" s="23" t="s">
        <v>239</v>
      </c>
      <c r="D59" s="23" t="s">
        <v>223</v>
      </c>
      <c r="E59" s="23">
        <v>8.3730001449584961</v>
      </c>
      <c r="F59" s="23">
        <v>27832.300342076709</v>
      </c>
      <c r="G59" s="23"/>
      <c r="H59" s="23" t="str">
        <f>IF('Paste Sample Names Here'!G61="", "", 'Paste Sample Names Here'!G61)</f>
        <v/>
      </c>
      <c r="I59" s="24" t="str">
        <f>IF('Paste Sample Names Here'!F61="", "", 'Paste Sample Names Here'!F61)</f>
        <v/>
      </c>
      <c r="J59" s="23" t="str">
        <f t="shared" si="0"/>
        <v/>
      </c>
      <c r="K59" s="23" t="str">
        <f>IF(I59="", "", Sheet3!H76)</f>
        <v/>
      </c>
      <c r="L59" s="23" t="str">
        <f ca="1">IF(I59="", "", OFFSET(Data!$C$19, 2*Sheet3!B119, 0))</f>
        <v/>
      </c>
      <c r="M59" s="23" t="str">
        <f ca="1">IF(I59="", "", OFFSET(Data!$E$19, 2*Sheet3!B119, 0))</f>
        <v/>
      </c>
      <c r="N59" s="32"/>
      <c r="O59" s="23" t="str">
        <f>IF('Paste Sample Names Here'!K61="", "", 'Paste Sample Names Here'!K61)</f>
        <v/>
      </c>
      <c r="P59" s="24" t="str">
        <f>IF('Paste Sample Names Here'!J61="", "", 'Paste Sample Names Here'!J61)</f>
        <v/>
      </c>
      <c r="Q59" s="23" t="str">
        <f t="shared" si="1"/>
        <v/>
      </c>
      <c r="R59" s="23" t="str">
        <f>IF(P59="", "", Sheet3!H76)</f>
        <v/>
      </c>
      <c r="S59" s="23" t="str">
        <f ca="1">IF(P59="", "", OFFSET(Data!$C$210, 2*Sheet3!B119, 0))</f>
        <v/>
      </c>
      <c r="T59" s="23" t="str">
        <f ca="1">IF(P59="", "", OFFSET(Data!$E$210, 2*Sheet3!B119, 0))</f>
        <v/>
      </c>
      <c r="U59" s="23"/>
      <c r="V59" s="23" t="str">
        <f>IF('Paste Sample Names Here'!O61="","", 'Paste Sample Names Here'!O61)</f>
        <v/>
      </c>
      <c r="W59" s="24" t="str">
        <f>IF('Paste Sample Names Here'!N61="", "",'Paste Sample Names Here'!N61)</f>
        <v/>
      </c>
      <c r="X59" s="23" t="str">
        <f t="shared" si="2"/>
        <v/>
      </c>
      <c r="Y59" s="23" t="str">
        <f>IF(W59="", "", Sheet3!H76)</f>
        <v/>
      </c>
      <c r="Z59" s="23" t="str">
        <f ca="1">IF(W59="", "", OFFSET(Data!$C$211, 2*Sheet3!B119, 0))</f>
        <v/>
      </c>
      <c r="AA59" s="23" t="str">
        <f ca="1">IF(W59="", "", OFFSET(Data!$E$211, 2*Sheet3!B119, 0))</f>
        <v/>
      </c>
    </row>
    <row r="60" spans="1:27" x14ac:dyDescent="0.2">
      <c r="A60" s="23" t="s">
        <v>253</v>
      </c>
      <c r="B60" s="24" t="s">
        <v>308</v>
      </c>
      <c r="C60" s="23" t="s">
        <v>239</v>
      </c>
      <c r="D60" s="23" t="s">
        <v>224</v>
      </c>
      <c r="E60" s="23">
        <v>8.1210002899169922</v>
      </c>
      <c r="F60" s="23">
        <v>32632.820549308042</v>
      </c>
      <c r="G60" s="23"/>
      <c r="H60" s="23" t="str">
        <f>IF('Paste Sample Names Here'!G62="", "", 'Paste Sample Names Here'!G62)</f>
        <v/>
      </c>
      <c r="I60" s="24" t="str">
        <f>IF('Paste Sample Names Here'!F62="", "", 'Paste Sample Names Here'!F62)</f>
        <v/>
      </c>
      <c r="J60" s="23" t="str">
        <f t="shared" si="0"/>
        <v/>
      </c>
      <c r="K60" s="23" t="str">
        <f>IF(I60="", "", Sheet3!H77)</f>
        <v/>
      </c>
      <c r="L60" s="23" t="str">
        <f ca="1">IF(I60="", "", OFFSET(Data!$C$19, 2*Sheet3!B120, 0))</f>
        <v/>
      </c>
      <c r="M60" s="23" t="str">
        <f ca="1">IF(I60="", "", OFFSET(Data!$E$19, 2*Sheet3!B120, 0))</f>
        <v/>
      </c>
      <c r="N60" s="32"/>
      <c r="O60" s="23" t="str">
        <f>IF('Paste Sample Names Here'!K62="", "", 'Paste Sample Names Here'!K62)</f>
        <v/>
      </c>
      <c r="P60" s="24" t="str">
        <f>IF('Paste Sample Names Here'!J62="", "", 'Paste Sample Names Here'!J62)</f>
        <v/>
      </c>
      <c r="Q60" s="23" t="str">
        <f t="shared" si="1"/>
        <v/>
      </c>
      <c r="R60" s="23" t="str">
        <f>IF(P60="", "", Sheet3!H77)</f>
        <v/>
      </c>
      <c r="S60" s="23" t="str">
        <f ca="1">IF(P60="", "", OFFSET(Data!$C$210, 2*Sheet3!B120, 0))</f>
        <v/>
      </c>
      <c r="T60" s="23" t="str">
        <f ca="1">IF(P60="", "", OFFSET(Data!$E$210, 2*Sheet3!B120, 0))</f>
        <v/>
      </c>
      <c r="U60" s="23"/>
      <c r="V60" s="23" t="str">
        <f>IF('Paste Sample Names Here'!O62="","", 'Paste Sample Names Here'!O62)</f>
        <v/>
      </c>
      <c r="W60" s="24" t="str">
        <f>IF('Paste Sample Names Here'!N62="", "",'Paste Sample Names Here'!N62)</f>
        <v/>
      </c>
      <c r="X60" s="23" t="str">
        <f t="shared" si="2"/>
        <v/>
      </c>
      <c r="Y60" s="23" t="str">
        <f>IF(W60="", "", Sheet3!H77)</f>
        <v/>
      </c>
      <c r="Z60" s="23" t="str">
        <f ca="1">IF(W60="", "", OFFSET(Data!$C$211, 2*Sheet3!B120, 0))</f>
        <v/>
      </c>
      <c r="AA60" s="23" t="str">
        <f ca="1">IF(W60="", "", OFFSET(Data!$E$211, 2*Sheet3!B120, 0))</f>
        <v/>
      </c>
    </row>
    <row r="61" spans="1:27" x14ac:dyDescent="0.2">
      <c r="A61" s="23" t="s">
        <v>253</v>
      </c>
      <c r="B61" s="24" t="s">
        <v>309</v>
      </c>
      <c r="C61" s="23" t="s">
        <v>239</v>
      </c>
      <c r="D61" s="23" t="s">
        <v>225</v>
      </c>
      <c r="E61" s="23">
        <v>7.4289999008178711</v>
      </c>
      <c r="F61" s="23">
        <v>50515.046152797477</v>
      </c>
      <c r="G61" s="23"/>
      <c r="H61" s="23" t="str">
        <f>IF('Paste Sample Names Here'!G63="", "", 'Paste Sample Names Here'!G63)</f>
        <v/>
      </c>
      <c r="I61" s="24" t="str">
        <f>IF('Paste Sample Names Here'!F63="", "", 'Paste Sample Names Here'!F63)</f>
        <v/>
      </c>
      <c r="J61" s="23" t="str">
        <f t="shared" si="0"/>
        <v/>
      </c>
      <c r="K61" s="23" t="str">
        <f>IF(I61="", "", Sheet3!H78)</f>
        <v/>
      </c>
      <c r="L61" s="23" t="str">
        <f ca="1">IF(I61="", "", OFFSET(Data!$C$19, 2*Sheet3!B121, 0))</f>
        <v/>
      </c>
      <c r="M61" s="23" t="str">
        <f ca="1">IF(I61="", "", OFFSET(Data!$E$19, 2*Sheet3!B121, 0))</f>
        <v/>
      </c>
      <c r="N61" s="32"/>
      <c r="O61" s="23" t="str">
        <f>IF('Paste Sample Names Here'!K63="", "", 'Paste Sample Names Here'!K63)</f>
        <v/>
      </c>
      <c r="P61" s="24" t="str">
        <f>IF('Paste Sample Names Here'!J63="", "", 'Paste Sample Names Here'!J63)</f>
        <v/>
      </c>
      <c r="Q61" s="23" t="str">
        <f t="shared" si="1"/>
        <v/>
      </c>
      <c r="R61" s="23" t="str">
        <f>IF(P61="", "", Sheet3!H78)</f>
        <v/>
      </c>
      <c r="S61" s="23" t="str">
        <f ca="1">IF(P61="", "", OFFSET(Data!$C$210, 2*Sheet3!B121, 0))</f>
        <v/>
      </c>
      <c r="T61" s="23" t="str">
        <f ca="1">IF(P61="", "", OFFSET(Data!$E$210, 2*Sheet3!B121, 0))</f>
        <v/>
      </c>
      <c r="U61" s="23"/>
      <c r="V61" s="23" t="str">
        <f>IF('Paste Sample Names Here'!O63="","", 'Paste Sample Names Here'!O63)</f>
        <v/>
      </c>
      <c r="W61" s="24" t="str">
        <f>IF('Paste Sample Names Here'!N63="", "",'Paste Sample Names Here'!N63)</f>
        <v/>
      </c>
      <c r="X61" s="23" t="str">
        <f t="shared" si="2"/>
        <v/>
      </c>
      <c r="Y61" s="23" t="str">
        <f>IF(W61="", "", Sheet3!H78)</f>
        <v/>
      </c>
      <c r="Z61" s="23" t="str">
        <f ca="1">IF(W61="", "", OFFSET(Data!$C$211, 2*Sheet3!B121, 0))</f>
        <v/>
      </c>
      <c r="AA61" s="23" t="str">
        <f ca="1">IF(W61="", "", OFFSET(Data!$E$211, 2*Sheet3!B121, 0))</f>
        <v/>
      </c>
    </row>
    <row r="62" spans="1:27" x14ac:dyDescent="0.2">
      <c r="A62" s="23" t="s">
        <v>253</v>
      </c>
      <c r="B62" s="24" t="s">
        <v>310</v>
      </c>
      <c r="C62" s="23" t="s">
        <v>239</v>
      </c>
      <c r="D62" s="23" t="s">
        <v>226</v>
      </c>
      <c r="E62" s="23">
        <v>6.9730000495910645</v>
      </c>
      <c r="F62" s="23">
        <v>67370.357474536882</v>
      </c>
      <c r="G62" s="23"/>
      <c r="H62" s="23" t="str">
        <f>IF('Paste Sample Names Here'!G64="", "", 'Paste Sample Names Here'!G64)</f>
        <v/>
      </c>
      <c r="I62" s="24" t="str">
        <f>IF('Paste Sample Names Here'!F64="", "", 'Paste Sample Names Here'!F64)</f>
        <v/>
      </c>
      <c r="J62" s="23" t="str">
        <f t="shared" si="0"/>
        <v/>
      </c>
      <c r="K62" s="23" t="str">
        <f>IF(I62="", "", Sheet3!H79)</f>
        <v/>
      </c>
      <c r="L62" s="23" t="str">
        <f ca="1">IF(I62="", "", OFFSET(Data!$C$19, 2*Sheet3!B122, 0))</f>
        <v/>
      </c>
      <c r="M62" s="23" t="str">
        <f ca="1">IF(I62="", "", OFFSET(Data!$E$19, 2*Sheet3!B122, 0))</f>
        <v/>
      </c>
      <c r="N62" s="32"/>
      <c r="O62" s="23" t="str">
        <f>IF('Paste Sample Names Here'!K64="", "", 'Paste Sample Names Here'!K64)</f>
        <v/>
      </c>
      <c r="P62" s="24" t="str">
        <f>IF('Paste Sample Names Here'!J64="", "", 'Paste Sample Names Here'!J64)</f>
        <v/>
      </c>
      <c r="Q62" s="23" t="str">
        <f t="shared" si="1"/>
        <v/>
      </c>
      <c r="R62" s="23" t="str">
        <f>IF(P62="", "", Sheet3!H79)</f>
        <v/>
      </c>
      <c r="S62" s="23" t="str">
        <f ca="1">IF(P62="", "", OFFSET(Data!$C$210, 2*Sheet3!B122, 0))</f>
        <v/>
      </c>
      <c r="T62" s="23" t="str">
        <f ca="1">IF(P62="", "", OFFSET(Data!$E$210, 2*Sheet3!B122, 0))</f>
        <v/>
      </c>
      <c r="U62" s="23"/>
      <c r="V62" s="23" t="str">
        <f>IF('Paste Sample Names Here'!O64="","", 'Paste Sample Names Here'!O64)</f>
        <v/>
      </c>
      <c r="W62" s="24" t="str">
        <f>IF('Paste Sample Names Here'!N64="", "",'Paste Sample Names Here'!N64)</f>
        <v/>
      </c>
      <c r="X62" s="23" t="str">
        <f t="shared" si="2"/>
        <v/>
      </c>
      <c r="Y62" s="23" t="str">
        <f>IF(W62="", "", Sheet3!H79)</f>
        <v/>
      </c>
      <c r="Z62" s="23" t="str">
        <f ca="1">IF(W62="", "", OFFSET(Data!$C$211, 2*Sheet3!B122, 0))</f>
        <v/>
      </c>
      <c r="AA62" s="23" t="str">
        <f ca="1">IF(W62="", "", OFFSET(Data!$E$211, 2*Sheet3!B122, 0))</f>
        <v/>
      </c>
    </row>
    <row r="63" spans="1:27" x14ac:dyDescent="0.2">
      <c r="A63" s="23" t="s">
        <v>253</v>
      </c>
      <c r="B63" s="24" t="s">
        <v>311</v>
      </c>
      <c r="C63" s="23" t="s">
        <v>239</v>
      </c>
      <c r="D63" s="23" t="s">
        <v>227</v>
      </c>
      <c r="E63" s="23">
        <v>6.870999813079834</v>
      </c>
      <c r="F63" s="23">
        <v>71852.223274863994</v>
      </c>
      <c r="G63" s="23"/>
      <c r="H63" s="23" t="str">
        <f>IF('Paste Sample Names Here'!G65="", "", 'Paste Sample Names Here'!G65)</f>
        <v/>
      </c>
      <c r="I63" s="24" t="str">
        <f>IF('Paste Sample Names Here'!F65="", "", 'Paste Sample Names Here'!F65)</f>
        <v/>
      </c>
      <c r="J63" s="23" t="str">
        <f t="shared" si="0"/>
        <v/>
      </c>
      <c r="K63" s="23" t="str">
        <f>IF(I63="", "", Sheet3!H80)</f>
        <v/>
      </c>
      <c r="L63" s="23" t="str">
        <f ca="1">IF(I63="", "", OFFSET(Data!$C$19, 2*Sheet3!B123, 0))</f>
        <v/>
      </c>
      <c r="M63" s="23" t="str">
        <f ca="1">IF(I63="", "", OFFSET(Data!$E$19, 2*Sheet3!B123, 0))</f>
        <v/>
      </c>
      <c r="N63" s="32"/>
      <c r="O63" s="23" t="str">
        <f>IF('Paste Sample Names Here'!K65="", "", 'Paste Sample Names Here'!K65)</f>
        <v/>
      </c>
      <c r="P63" s="24" t="str">
        <f>IF('Paste Sample Names Here'!J65="", "", 'Paste Sample Names Here'!J65)</f>
        <v/>
      </c>
      <c r="Q63" s="23" t="str">
        <f t="shared" si="1"/>
        <v/>
      </c>
      <c r="R63" s="23" t="str">
        <f>IF(P63="", "", Sheet3!H80)</f>
        <v/>
      </c>
      <c r="S63" s="23" t="str">
        <f ca="1">IF(P63="", "", OFFSET(Data!$C$210, 2*Sheet3!B123, 0))</f>
        <v/>
      </c>
      <c r="T63" s="23" t="str">
        <f ca="1">IF(P63="", "", OFFSET(Data!$E$210, 2*Sheet3!B123, 0))</f>
        <v/>
      </c>
      <c r="U63" s="23"/>
      <c r="V63" s="23" t="str">
        <f>IF('Paste Sample Names Here'!O65="","", 'Paste Sample Names Here'!O65)</f>
        <v/>
      </c>
      <c r="W63" s="24" t="str">
        <f>IF('Paste Sample Names Here'!N65="", "",'Paste Sample Names Here'!N65)</f>
        <v/>
      </c>
      <c r="X63" s="23" t="str">
        <f t="shared" si="2"/>
        <v/>
      </c>
      <c r="Y63" s="23" t="str">
        <f>IF(W63="", "", Sheet3!H80)</f>
        <v/>
      </c>
      <c r="Z63" s="23" t="str">
        <f ca="1">IF(W63="", "", OFFSET(Data!$C$211, 2*Sheet3!B123, 0))</f>
        <v/>
      </c>
      <c r="AA63" s="23" t="str">
        <f ca="1">IF(W63="", "", OFFSET(Data!$E$211, 2*Sheet3!B123, 0))</f>
        <v/>
      </c>
    </row>
    <row r="64" spans="1:27" x14ac:dyDescent="0.2">
      <c r="A64" s="23" t="s">
        <v>253</v>
      </c>
      <c r="B64" s="24" t="s">
        <v>312</v>
      </c>
      <c r="C64" s="23" t="s">
        <v>239</v>
      </c>
      <c r="D64" s="23" t="s">
        <v>228</v>
      </c>
      <c r="E64" s="23">
        <v>7.2600002288818359</v>
      </c>
      <c r="F64" s="23">
        <v>56203.745599678943</v>
      </c>
      <c r="G64" s="23"/>
      <c r="H64" s="23" t="str">
        <f>IF('Paste Sample Names Here'!G66="", "", 'Paste Sample Names Here'!G66)</f>
        <v/>
      </c>
      <c r="I64" s="24" t="str">
        <f>IF('Paste Sample Names Here'!F66="", "", 'Paste Sample Names Here'!F66)</f>
        <v/>
      </c>
      <c r="J64" s="23" t="str">
        <f t="shared" si="0"/>
        <v/>
      </c>
      <c r="K64" s="23" t="str">
        <f>IF(I64="", "", Sheet3!H81)</f>
        <v/>
      </c>
      <c r="L64" s="23" t="str">
        <f ca="1">IF(I64="", "", OFFSET(Data!$C$19, 2*Sheet3!B124, 0))</f>
        <v/>
      </c>
      <c r="M64" s="23" t="str">
        <f ca="1">IF(I64="", "", OFFSET(Data!$E$19, 2*Sheet3!B124, 0))</f>
        <v/>
      </c>
      <c r="N64" s="32"/>
      <c r="O64" s="23" t="str">
        <f>IF('Paste Sample Names Here'!K66="", "", 'Paste Sample Names Here'!K66)</f>
        <v/>
      </c>
      <c r="P64" s="24" t="str">
        <f>IF('Paste Sample Names Here'!J66="", "", 'Paste Sample Names Here'!J66)</f>
        <v/>
      </c>
      <c r="Q64" s="23" t="str">
        <f t="shared" si="1"/>
        <v/>
      </c>
      <c r="R64" s="23" t="str">
        <f>IF(P64="", "", Sheet3!H81)</f>
        <v/>
      </c>
      <c r="S64" s="23" t="str">
        <f ca="1">IF(P64="", "", OFFSET(Data!$C$210, 2*Sheet3!B124, 0))</f>
        <v/>
      </c>
      <c r="T64" s="23" t="str">
        <f ca="1">IF(P64="", "", OFFSET(Data!$E$210, 2*Sheet3!B124, 0))</f>
        <v/>
      </c>
      <c r="U64" s="23"/>
      <c r="V64" s="23" t="str">
        <f>IF('Paste Sample Names Here'!O66="","", 'Paste Sample Names Here'!O66)</f>
        <v/>
      </c>
      <c r="W64" s="24" t="str">
        <f>IF('Paste Sample Names Here'!N66="", "",'Paste Sample Names Here'!N66)</f>
        <v/>
      </c>
      <c r="X64" s="23" t="str">
        <f t="shared" si="2"/>
        <v/>
      </c>
      <c r="Y64" s="23" t="str">
        <f>IF(W64="", "", Sheet3!H81)</f>
        <v/>
      </c>
      <c r="Z64" s="23" t="str">
        <f ca="1">IF(W64="", "", OFFSET(Data!$C$211, 2*Sheet3!B124, 0))</f>
        <v/>
      </c>
      <c r="AA64" s="23" t="str">
        <f ca="1">IF(W64="", "", OFFSET(Data!$E$211, 2*Sheet3!B124, 0))</f>
        <v/>
      </c>
    </row>
    <row r="65" spans="1:27" x14ac:dyDescent="0.2">
      <c r="A65" s="23" t="s">
        <v>253</v>
      </c>
      <c r="B65" s="24" t="s">
        <v>313</v>
      </c>
      <c r="C65" s="23" t="s">
        <v>239</v>
      </c>
      <c r="D65" s="23" t="s">
        <v>229</v>
      </c>
      <c r="E65" s="23">
        <v>7.869999885559082</v>
      </c>
      <c r="F65" s="23">
        <v>38237.196726358634</v>
      </c>
      <c r="G65" s="23"/>
      <c r="H65" s="23" t="str">
        <f>IF('Paste Sample Names Here'!G67="", "", 'Paste Sample Names Here'!G67)</f>
        <v/>
      </c>
      <c r="I65" s="24" t="str">
        <f>IF('Paste Sample Names Here'!F67="", "", 'Paste Sample Names Here'!F67)</f>
        <v/>
      </c>
      <c r="J65" s="23" t="str">
        <f t="shared" si="0"/>
        <v/>
      </c>
      <c r="K65" s="23" t="str">
        <f>IF(I65="", "", Sheet3!H82)</f>
        <v/>
      </c>
      <c r="L65" s="23" t="str">
        <f ca="1">IF(I65="", "", OFFSET(Data!$C$19, 2*Sheet3!B125, 0))</f>
        <v/>
      </c>
      <c r="M65" s="23" t="str">
        <f ca="1">IF(I65="", "", OFFSET(Data!$E$19, 2*Sheet3!B125, 0))</f>
        <v/>
      </c>
      <c r="N65" s="32"/>
      <c r="O65" s="23" t="str">
        <f>IF('Paste Sample Names Here'!K67="", "", 'Paste Sample Names Here'!K67)</f>
        <v/>
      </c>
      <c r="P65" s="24" t="str">
        <f>IF('Paste Sample Names Here'!J67="", "", 'Paste Sample Names Here'!J67)</f>
        <v/>
      </c>
      <c r="Q65" s="23" t="str">
        <f t="shared" si="1"/>
        <v/>
      </c>
      <c r="R65" s="23" t="str">
        <f>IF(P65="", "", Sheet3!H82)</f>
        <v/>
      </c>
      <c r="S65" s="23" t="str">
        <f ca="1">IF(P65="", "", OFFSET(Data!$C$210, 2*Sheet3!B125, 0))</f>
        <v/>
      </c>
      <c r="T65" s="23" t="str">
        <f ca="1">IF(P65="", "", OFFSET(Data!$E$210, 2*Sheet3!B125, 0))</f>
        <v/>
      </c>
      <c r="U65" s="23"/>
      <c r="V65" s="23" t="str">
        <f>IF('Paste Sample Names Here'!O67="","", 'Paste Sample Names Here'!O67)</f>
        <v/>
      </c>
      <c r="W65" s="24" t="str">
        <f>IF('Paste Sample Names Here'!N67="", "",'Paste Sample Names Here'!N67)</f>
        <v/>
      </c>
      <c r="X65" s="23" t="str">
        <f t="shared" si="2"/>
        <v/>
      </c>
      <c r="Y65" s="23" t="str">
        <f>IF(W65="", "", Sheet3!H82)</f>
        <v/>
      </c>
      <c r="Z65" s="23" t="str">
        <f ca="1">IF(W65="", "", OFFSET(Data!$C$211, 2*Sheet3!B125, 0))</f>
        <v/>
      </c>
      <c r="AA65" s="23" t="str">
        <f ca="1">IF(W65="", "", OFFSET(Data!$E$211, 2*Sheet3!B125, 0))</f>
        <v/>
      </c>
    </row>
    <row r="66" spans="1:27" x14ac:dyDescent="0.2">
      <c r="A66" s="23" t="s">
        <v>253</v>
      </c>
      <c r="B66" s="24" t="s">
        <v>314</v>
      </c>
      <c r="C66" s="23" t="s">
        <v>239</v>
      </c>
      <c r="D66" s="23" t="s">
        <v>230</v>
      </c>
      <c r="E66" s="23">
        <v>6.7579998970031738</v>
      </c>
      <c r="F66" s="23">
        <v>77166.356317721948</v>
      </c>
      <c r="G66" s="23"/>
      <c r="H66" s="23" t="str">
        <f>IF('Paste Sample Names Here'!G68="", "", 'Paste Sample Names Here'!G68)</f>
        <v/>
      </c>
      <c r="I66" s="24" t="str">
        <f>IF('Paste Sample Names Here'!F68="", "", 'Paste Sample Names Here'!F68)</f>
        <v/>
      </c>
      <c r="J66" s="23" t="str">
        <f t="shared" si="0"/>
        <v/>
      </c>
      <c r="K66" s="23" t="str">
        <f>IF(I66="", "", Sheet3!H83)</f>
        <v/>
      </c>
      <c r="L66" s="23" t="str">
        <f ca="1">IF(I66="", "", OFFSET(Data!$C$19, 2*Sheet3!B126, 0))</f>
        <v/>
      </c>
      <c r="M66" s="23" t="str">
        <f ca="1">IF(I66="", "", OFFSET(Data!$E$19, 2*Sheet3!B126, 0))</f>
        <v/>
      </c>
      <c r="N66" s="32"/>
      <c r="O66" s="23" t="str">
        <f>IF('Paste Sample Names Here'!K68="", "", 'Paste Sample Names Here'!K68)</f>
        <v/>
      </c>
      <c r="P66" s="24" t="str">
        <f>IF('Paste Sample Names Here'!J68="", "", 'Paste Sample Names Here'!J68)</f>
        <v/>
      </c>
      <c r="Q66" s="23" t="str">
        <f t="shared" si="1"/>
        <v/>
      </c>
      <c r="R66" s="23" t="str">
        <f>IF(P66="", "", Sheet3!H83)</f>
        <v/>
      </c>
      <c r="S66" s="23" t="str">
        <f ca="1">IF(P66="", "", OFFSET(Data!$C$210, 2*Sheet3!B126, 0))</f>
        <v/>
      </c>
      <c r="T66" s="23" t="str">
        <f ca="1">IF(P66="", "", OFFSET(Data!$E$210, 2*Sheet3!B126, 0))</f>
        <v/>
      </c>
      <c r="U66" s="23"/>
      <c r="V66" s="23" t="str">
        <f>IF('Paste Sample Names Here'!O68="","", 'Paste Sample Names Here'!O68)</f>
        <v/>
      </c>
      <c r="W66" s="24" t="str">
        <f>IF('Paste Sample Names Here'!N68="", "",'Paste Sample Names Here'!N68)</f>
        <v/>
      </c>
      <c r="X66" s="23" t="str">
        <f t="shared" si="2"/>
        <v/>
      </c>
      <c r="Y66" s="23" t="str">
        <f>IF(W66="", "", Sheet3!H83)</f>
        <v/>
      </c>
      <c r="Z66" s="23" t="str">
        <f ca="1">IF(W66="", "", OFFSET(Data!$C$211, 2*Sheet3!B126, 0))</f>
        <v/>
      </c>
      <c r="AA66" s="23" t="str">
        <f ca="1">IF(W66="", "", OFFSET(Data!$E$211, 2*Sheet3!B126, 0))</f>
        <v/>
      </c>
    </row>
    <row r="67" spans="1:27" x14ac:dyDescent="0.2">
      <c r="A67" s="23" t="s">
        <v>253</v>
      </c>
      <c r="B67" s="24" t="s">
        <v>315</v>
      </c>
      <c r="C67" s="23" t="s">
        <v>239</v>
      </c>
      <c r="D67" s="23" t="s">
        <v>231</v>
      </c>
      <c r="E67" s="23">
        <v>6.9840002059936523</v>
      </c>
      <c r="F67" s="23">
        <v>66904.032812275138</v>
      </c>
      <c r="G67" s="23"/>
      <c r="H67" s="23" t="str">
        <f>IF('Paste Sample Names Here'!G69="", "", 'Paste Sample Names Here'!G69)</f>
        <v/>
      </c>
      <c r="I67" s="24" t="str">
        <f>IF('Paste Sample Names Here'!F69="", "", 'Paste Sample Names Here'!F69)</f>
        <v/>
      </c>
      <c r="J67" s="23" t="str">
        <f t="shared" si="0"/>
        <v/>
      </c>
      <c r="K67" s="23" t="str">
        <f>IF(I67="", "", Sheet3!H84)</f>
        <v/>
      </c>
      <c r="L67" s="23" t="str">
        <f ca="1">IF(I67="", "", OFFSET(Data!$C$19, 2*Sheet3!B127, 0))</f>
        <v/>
      </c>
      <c r="M67" s="23" t="str">
        <f ca="1">IF(I67="", "", OFFSET(Data!$E$19, 2*Sheet3!B127, 0))</f>
        <v/>
      </c>
      <c r="N67" s="32"/>
      <c r="O67" s="23" t="str">
        <f>IF('Paste Sample Names Here'!K69="", "", 'Paste Sample Names Here'!K69)</f>
        <v/>
      </c>
      <c r="P67" s="24" t="str">
        <f>IF('Paste Sample Names Here'!J69="", "", 'Paste Sample Names Here'!J69)</f>
        <v/>
      </c>
      <c r="Q67" s="23" t="str">
        <f t="shared" si="1"/>
        <v/>
      </c>
      <c r="R67" s="23" t="str">
        <f>IF(P67="", "", Sheet3!H84)</f>
        <v/>
      </c>
      <c r="S67" s="23" t="str">
        <f ca="1">IF(P67="", "", OFFSET(Data!$C$210, 2*Sheet3!B127, 0))</f>
        <v/>
      </c>
      <c r="T67" s="23" t="str">
        <f ca="1">IF(P67="", "", OFFSET(Data!$E$210, 2*Sheet3!B127, 0))</f>
        <v/>
      </c>
      <c r="U67" s="23"/>
      <c r="V67" s="23" t="str">
        <f>IF('Paste Sample Names Here'!O69="","", 'Paste Sample Names Here'!O69)</f>
        <v/>
      </c>
      <c r="W67" s="24" t="str">
        <f>IF('Paste Sample Names Here'!N69="", "",'Paste Sample Names Here'!N69)</f>
        <v/>
      </c>
      <c r="X67" s="23" t="str">
        <f t="shared" si="2"/>
        <v/>
      </c>
      <c r="Y67" s="23" t="str">
        <f>IF(W67="", "", Sheet3!H84)</f>
        <v/>
      </c>
      <c r="Z67" s="23" t="str">
        <f ca="1">IF(W67="", "", OFFSET(Data!$C$211, 2*Sheet3!B127, 0))</f>
        <v/>
      </c>
      <c r="AA67" s="23" t="str">
        <f ca="1">IF(W67="", "", OFFSET(Data!$E$211, 2*Sheet3!B127, 0))</f>
        <v/>
      </c>
    </row>
    <row r="68" spans="1:27" x14ac:dyDescent="0.2">
      <c r="A68" s="23" t="s">
        <v>253</v>
      </c>
      <c r="B68" s="24" t="s">
        <v>316</v>
      </c>
      <c r="C68" s="23" t="s">
        <v>239</v>
      </c>
      <c r="D68" s="23" t="s">
        <v>232</v>
      </c>
      <c r="E68" s="23">
        <v>6.9439997673034668</v>
      </c>
      <c r="F68" s="23">
        <v>68615.392507985045</v>
      </c>
      <c r="G68" s="23"/>
      <c r="H68" s="23" t="str">
        <f>IF('Paste Sample Names Here'!G70="", "", 'Paste Sample Names Here'!G70)</f>
        <v/>
      </c>
      <c r="I68" s="24" t="str">
        <f>IF('Paste Sample Names Here'!F70="", "", 'Paste Sample Names Here'!F70)</f>
        <v/>
      </c>
      <c r="J68" s="23" t="str">
        <f t="shared" ref="J68:J98" si="3">IF(I68="", "", $H$1)</f>
        <v/>
      </c>
      <c r="K68" s="23" t="str">
        <f>IF(I68="", "", Sheet3!H85)</f>
        <v/>
      </c>
      <c r="L68" s="23" t="str">
        <f ca="1">IF(I68="", "", OFFSET(Data!$C$19, 2*Sheet3!B128, 0))</f>
        <v/>
      </c>
      <c r="M68" s="23" t="str">
        <f ca="1">IF(I68="", "", OFFSET(Data!$E$19, 2*Sheet3!B128, 0))</f>
        <v/>
      </c>
      <c r="N68" s="32"/>
      <c r="O68" s="23" t="str">
        <f>IF('Paste Sample Names Here'!K70="", "", 'Paste Sample Names Here'!K70)</f>
        <v/>
      </c>
      <c r="P68" s="24" t="str">
        <f>IF('Paste Sample Names Here'!J70="", "", 'Paste Sample Names Here'!J70)</f>
        <v/>
      </c>
      <c r="Q68" s="23" t="str">
        <f t="shared" ref="Q68:Q98" si="4">IF(P68="", "", $O$1)</f>
        <v/>
      </c>
      <c r="R68" s="23" t="str">
        <f>IF(P68="", "", Sheet3!H85)</f>
        <v/>
      </c>
      <c r="S68" s="23" t="str">
        <f ca="1">IF(P68="", "", OFFSET(Data!$C$210, 2*Sheet3!B128, 0))</f>
        <v/>
      </c>
      <c r="T68" s="23" t="str">
        <f ca="1">IF(P68="", "", OFFSET(Data!$E$210, 2*Sheet3!B128, 0))</f>
        <v/>
      </c>
      <c r="U68" s="23"/>
      <c r="V68" s="23" t="str">
        <f>IF('Paste Sample Names Here'!O70="","", 'Paste Sample Names Here'!O70)</f>
        <v/>
      </c>
      <c r="W68" s="24" t="str">
        <f>IF('Paste Sample Names Here'!N70="", "",'Paste Sample Names Here'!N70)</f>
        <v/>
      </c>
      <c r="X68" s="23" t="str">
        <f t="shared" ref="X68:X98" si="5">IF(W68="", "", $V$1)</f>
        <v/>
      </c>
      <c r="Y68" s="23" t="str">
        <f>IF(W68="", "", Sheet3!H85)</f>
        <v/>
      </c>
      <c r="Z68" s="23" t="str">
        <f ca="1">IF(W68="", "", OFFSET(Data!$C$211, 2*Sheet3!B128, 0))</f>
        <v/>
      </c>
      <c r="AA68" s="23" t="str">
        <f ca="1">IF(W68="", "", OFFSET(Data!$E$211, 2*Sheet3!B128, 0))</f>
        <v/>
      </c>
    </row>
    <row r="69" spans="1:27" x14ac:dyDescent="0.2">
      <c r="A69" s="23" t="s">
        <v>253</v>
      </c>
      <c r="B69" s="24" t="s">
        <v>317</v>
      </c>
      <c r="C69" s="23" t="s">
        <v>239</v>
      </c>
      <c r="D69" s="23" t="s">
        <v>233</v>
      </c>
      <c r="E69" s="23">
        <v>7.7769999504089355</v>
      </c>
      <c r="F69" s="23">
        <v>40549.851344854178</v>
      </c>
      <c r="G69" s="23"/>
      <c r="H69" s="23" t="str">
        <f>IF('Paste Sample Names Here'!G71="", "", 'Paste Sample Names Here'!G71)</f>
        <v/>
      </c>
      <c r="I69" s="24" t="str">
        <f>IF('Paste Sample Names Here'!F71="", "", 'Paste Sample Names Here'!F71)</f>
        <v/>
      </c>
      <c r="J69" s="23" t="str">
        <f t="shared" si="3"/>
        <v/>
      </c>
      <c r="K69" s="23" t="str">
        <f>IF(I69="", "", Sheet3!H86)</f>
        <v/>
      </c>
      <c r="L69" s="23" t="str">
        <f ca="1">IF(I69="", "", OFFSET(Data!$C$19, 2*Sheet3!B129, 0))</f>
        <v/>
      </c>
      <c r="M69" s="23" t="str">
        <f ca="1">IF(I69="", "", OFFSET(Data!$E$19, 2*Sheet3!B129, 0))</f>
        <v/>
      </c>
      <c r="N69" s="32"/>
      <c r="O69" s="23" t="str">
        <f>IF('Paste Sample Names Here'!K71="", "", 'Paste Sample Names Here'!K71)</f>
        <v/>
      </c>
      <c r="P69" s="24" t="str">
        <f>IF('Paste Sample Names Here'!J71="", "", 'Paste Sample Names Here'!J71)</f>
        <v/>
      </c>
      <c r="Q69" s="23" t="str">
        <f t="shared" si="4"/>
        <v/>
      </c>
      <c r="R69" s="23" t="str">
        <f>IF(P69="", "", Sheet3!H86)</f>
        <v/>
      </c>
      <c r="S69" s="23" t="str">
        <f ca="1">IF(P69="", "", OFFSET(Data!$C$210, 2*Sheet3!B129, 0))</f>
        <v/>
      </c>
      <c r="T69" s="23" t="str">
        <f ca="1">IF(P69="", "", OFFSET(Data!$E$210, 2*Sheet3!B129, 0))</f>
        <v/>
      </c>
      <c r="U69" s="23"/>
      <c r="V69" s="23" t="str">
        <f>IF('Paste Sample Names Here'!O71="","", 'Paste Sample Names Here'!O71)</f>
        <v/>
      </c>
      <c r="W69" s="24" t="str">
        <f>IF('Paste Sample Names Here'!N71="", "",'Paste Sample Names Here'!N71)</f>
        <v/>
      </c>
      <c r="X69" s="23" t="str">
        <f t="shared" si="5"/>
        <v/>
      </c>
      <c r="Y69" s="23" t="str">
        <f>IF(W69="", "", Sheet3!H86)</f>
        <v/>
      </c>
      <c r="Z69" s="23" t="str">
        <f ca="1">IF(W69="", "", OFFSET(Data!$C$211, 2*Sheet3!B129, 0))</f>
        <v/>
      </c>
      <c r="AA69" s="23" t="str">
        <f ca="1">IF(W69="", "", OFFSET(Data!$E$211, 2*Sheet3!B129, 0))</f>
        <v/>
      </c>
    </row>
    <row r="70" spans="1:27" x14ac:dyDescent="0.2">
      <c r="A70" s="23" t="s">
        <v>253</v>
      </c>
      <c r="B70" s="24" t="s">
        <v>318</v>
      </c>
      <c r="C70" s="23" t="s">
        <v>239</v>
      </c>
      <c r="D70" s="23" t="s">
        <v>234</v>
      </c>
      <c r="E70" s="23">
        <v>7.5</v>
      </c>
      <c r="F70" s="23">
        <v>48300.376088531601</v>
      </c>
      <c r="G70" s="23"/>
      <c r="H70" s="23" t="str">
        <f>IF('Paste Sample Names Here'!G72="", "", 'Paste Sample Names Here'!G72)</f>
        <v/>
      </c>
      <c r="I70" s="24" t="str">
        <f>IF('Paste Sample Names Here'!F72="", "", 'Paste Sample Names Here'!F72)</f>
        <v/>
      </c>
      <c r="J70" s="23" t="str">
        <f t="shared" si="3"/>
        <v/>
      </c>
      <c r="K70" s="23" t="str">
        <f>IF(I70="", "", Sheet3!H87)</f>
        <v/>
      </c>
      <c r="L70" s="23" t="str">
        <f ca="1">IF(I70="", "", OFFSET(Data!$C$19, 2*Sheet3!B130, 0))</f>
        <v/>
      </c>
      <c r="M70" s="23" t="str">
        <f ca="1">IF(I70="", "", OFFSET(Data!$E$19, 2*Sheet3!B130, 0))</f>
        <v/>
      </c>
      <c r="N70" s="32"/>
      <c r="O70" s="23" t="str">
        <f>IF('Paste Sample Names Here'!K72="", "", 'Paste Sample Names Here'!K72)</f>
        <v/>
      </c>
      <c r="P70" s="24" t="str">
        <f>IF('Paste Sample Names Here'!J72="", "", 'Paste Sample Names Here'!J72)</f>
        <v/>
      </c>
      <c r="Q70" s="23" t="str">
        <f t="shared" si="4"/>
        <v/>
      </c>
      <c r="R70" s="23" t="str">
        <f>IF(P70="", "", Sheet3!H87)</f>
        <v/>
      </c>
      <c r="S70" s="23" t="str">
        <f ca="1">IF(P70="", "", OFFSET(Data!$C$210, 2*Sheet3!B130, 0))</f>
        <v/>
      </c>
      <c r="T70" s="23" t="str">
        <f ca="1">IF(P70="", "", OFFSET(Data!$E$210, 2*Sheet3!B130, 0))</f>
        <v/>
      </c>
      <c r="U70" s="23"/>
      <c r="V70" s="23" t="str">
        <f>IF('Paste Sample Names Here'!O72="","", 'Paste Sample Names Here'!O72)</f>
        <v/>
      </c>
      <c r="W70" s="24" t="str">
        <f>IF('Paste Sample Names Here'!N72="", "",'Paste Sample Names Here'!N72)</f>
        <v/>
      </c>
      <c r="X70" s="23" t="str">
        <f t="shared" si="5"/>
        <v/>
      </c>
      <c r="Y70" s="23" t="str">
        <f>IF(W70="", "", Sheet3!H87)</f>
        <v/>
      </c>
      <c r="Z70" s="23" t="str">
        <f ca="1">IF(W70="", "", OFFSET(Data!$C$211, 2*Sheet3!B130, 0))</f>
        <v/>
      </c>
      <c r="AA70" s="23" t="str">
        <f ca="1">IF(W70="", "", OFFSET(Data!$E$211, 2*Sheet3!B130, 0))</f>
        <v/>
      </c>
    </row>
    <row r="71" spans="1:27" x14ac:dyDescent="0.2">
      <c r="A71" s="23" t="s">
        <v>253</v>
      </c>
      <c r="B71" s="24" t="s">
        <v>319</v>
      </c>
      <c r="C71" s="23" t="s">
        <v>239</v>
      </c>
      <c r="D71" s="23" t="s">
        <v>235</v>
      </c>
      <c r="E71" s="23">
        <v>6.9809999465942383</v>
      </c>
      <c r="F71" s="23">
        <v>67030.90038235634</v>
      </c>
      <c r="G71" s="23"/>
      <c r="H71" s="23" t="str">
        <f>IF('Paste Sample Names Here'!G73="", "", 'Paste Sample Names Here'!G73)</f>
        <v/>
      </c>
      <c r="I71" s="24" t="str">
        <f>IF('Paste Sample Names Here'!F73="", "", 'Paste Sample Names Here'!F73)</f>
        <v/>
      </c>
      <c r="J71" s="23" t="str">
        <f t="shared" si="3"/>
        <v/>
      </c>
      <c r="K71" s="23" t="str">
        <f>IF(I71="", "", Sheet3!H88)</f>
        <v/>
      </c>
      <c r="L71" s="23" t="str">
        <f ca="1">IF(I71="", "", OFFSET(Data!$C$19, 2*Sheet3!B131, 0))</f>
        <v/>
      </c>
      <c r="M71" s="23" t="str">
        <f ca="1">IF(I71="", "", OFFSET(Data!$E$19, 2*Sheet3!B131, 0))</f>
        <v/>
      </c>
      <c r="N71" s="32"/>
      <c r="O71" s="23" t="str">
        <f>IF('Paste Sample Names Here'!K73="", "", 'Paste Sample Names Here'!K73)</f>
        <v/>
      </c>
      <c r="P71" s="24" t="str">
        <f>IF('Paste Sample Names Here'!J73="", "", 'Paste Sample Names Here'!J73)</f>
        <v/>
      </c>
      <c r="Q71" s="23" t="str">
        <f t="shared" si="4"/>
        <v/>
      </c>
      <c r="R71" s="23" t="str">
        <f>IF(P71="", "", Sheet3!H88)</f>
        <v/>
      </c>
      <c r="S71" s="23" t="str">
        <f ca="1">IF(P71="", "", OFFSET(Data!$C$210, 2*Sheet3!B131, 0))</f>
        <v/>
      </c>
      <c r="T71" s="23" t="str">
        <f ca="1">IF(P71="", "", OFFSET(Data!$E$210, 2*Sheet3!B131, 0))</f>
        <v/>
      </c>
      <c r="U71" s="23"/>
      <c r="V71" s="23" t="str">
        <f>IF('Paste Sample Names Here'!O73="","", 'Paste Sample Names Here'!O73)</f>
        <v/>
      </c>
      <c r="W71" s="24" t="str">
        <f>IF('Paste Sample Names Here'!N73="", "",'Paste Sample Names Here'!N73)</f>
        <v/>
      </c>
      <c r="X71" s="23" t="str">
        <f t="shared" si="5"/>
        <v/>
      </c>
      <c r="Y71" s="23" t="str">
        <f>IF(W71="", "", Sheet3!H88)</f>
        <v/>
      </c>
      <c r="Z71" s="23" t="str">
        <f ca="1">IF(W71="", "", OFFSET(Data!$C$211, 2*Sheet3!B131, 0))</f>
        <v/>
      </c>
      <c r="AA71" s="23" t="str">
        <f ca="1">IF(W71="", "", OFFSET(Data!$E$211, 2*Sheet3!B131, 0))</f>
        <v/>
      </c>
    </row>
    <row r="72" spans="1:27" x14ac:dyDescent="0.2">
      <c r="A72" s="23" t="s">
        <v>253</v>
      </c>
      <c r="B72" s="24" t="s">
        <v>320</v>
      </c>
      <c r="C72" s="23" t="s">
        <v>239</v>
      </c>
      <c r="D72" s="23" t="s">
        <v>236</v>
      </c>
      <c r="E72" s="23">
        <v>7.0110001564025879</v>
      </c>
      <c r="F72" s="23">
        <v>65773.074690876732</v>
      </c>
      <c r="G72" s="23"/>
      <c r="H72" s="23" t="str">
        <f>IF('Paste Sample Names Here'!G74="", "", 'Paste Sample Names Here'!G74)</f>
        <v/>
      </c>
      <c r="I72" s="24" t="str">
        <f>IF('Paste Sample Names Here'!F74="", "", 'Paste Sample Names Here'!F74)</f>
        <v/>
      </c>
      <c r="J72" s="23" t="str">
        <f t="shared" si="3"/>
        <v/>
      </c>
      <c r="K72" s="23" t="str">
        <f>IF(I72="", "", Sheet3!H89)</f>
        <v/>
      </c>
      <c r="L72" s="23" t="str">
        <f ca="1">IF(I72="", "", OFFSET(Data!$C$19, 2*Sheet3!B132, 0))</f>
        <v/>
      </c>
      <c r="M72" s="23" t="str">
        <f ca="1">IF(I72="", "", OFFSET(Data!$E$19, 2*Sheet3!B132, 0))</f>
        <v/>
      </c>
      <c r="N72" s="32"/>
      <c r="O72" s="23" t="str">
        <f>IF('Paste Sample Names Here'!K74="", "", 'Paste Sample Names Here'!K74)</f>
        <v/>
      </c>
      <c r="P72" s="24" t="str">
        <f>IF('Paste Sample Names Here'!J74="", "", 'Paste Sample Names Here'!J74)</f>
        <v/>
      </c>
      <c r="Q72" s="23" t="str">
        <f t="shared" si="4"/>
        <v/>
      </c>
      <c r="R72" s="23" t="str">
        <f>IF(P72="", "", Sheet3!H89)</f>
        <v/>
      </c>
      <c r="S72" s="23" t="str">
        <f ca="1">IF(P72="", "", OFFSET(Data!$C$210, 2*Sheet3!B132, 0))</f>
        <v/>
      </c>
      <c r="T72" s="23" t="str">
        <f ca="1">IF(P72="", "", OFFSET(Data!$E$210, 2*Sheet3!B132, 0))</f>
        <v/>
      </c>
      <c r="U72" s="23"/>
      <c r="V72" s="23" t="str">
        <f>IF('Paste Sample Names Here'!O74="","", 'Paste Sample Names Here'!O74)</f>
        <v/>
      </c>
      <c r="W72" s="24" t="str">
        <f>IF('Paste Sample Names Here'!N74="", "",'Paste Sample Names Here'!N74)</f>
        <v/>
      </c>
      <c r="X72" s="23" t="str">
        <f t="shared" si="5"/>
        <v/>
      </c>
      <c r="Y72" s="23" t="str">
        <f>IF(W72="", "", Sheet3!H89)</f>
        <v/>
      </c>
      <c r="Z72" s="23" t="str">
        <f ca="1">IF(W72="", "", OFFSET(Data!$C$211, 2*Sheet3!B132, 0))</f>
        <v/>
      </c>
      <c r="AA72" s="23" t="str">
        <f ca="1">IF(W72="", "", OFFSET(Data!$E$211, 2*Sheet3!B132, 0))</f>
        <v/>
      </c>
    </row>
    <row r="73" spans="1:27" x14ac:dyDescent="0.2">
      <c r="A73" s="23" t="s">
        <v>253</v>
      </c>
      <c r="B73" s="24" t="s">
        <v>321</v>
      </c>
      <c r="C73" s="23" t="s">
        <v>239</v>
      </c>
      <c r="D73" s="23" t="s">
        <v>237</v>
      </c>
      <c r="E73" s="23">
        <v>10.305000305175781</v>
      </c>
      <c r="F73" s="23">
        <v>8217.5024108822763</v>
      </c>
      <c r="G73" s="23"/>
      <c r="H73" s="23" t="str">
        <f>IF('Paste Sample Names Here'!G75="", "", 'Paste Sample Names Here'!G75)</f>
        <v/>
      </c>
      <c r="I73" s="24" t="str">
        <f>IF('Paste Sample Names Here'!F75="", "", 'Paste Sample Names Here'!F75)</f>
        <v/>
      </c>
      <c r="J73" s="23" t="str">
        <f t="shared" si="3"/>
        <v/>
      </c>
      <c r="K73" s="23" t="str">
        <f>IF(I73="", "", Sheet3!H90)</f>
        <v/>
      </c>
      <c r="L73" s="23" t="str">
        <f ca="1">IF(I73="", "", OFFSET(Data!$C$19, 2*Sheet3!B133, 0))</f>
        <v/>
      </c>
      <c r="M73" s="23" t="str">
        <f ca="1">IF(I73="", "", OFFSET(Data!$E$19, 2*Sheet3!B133, 0))</f>
        <v/>
      </c>
      <c r="N73" s="32"/>
      <c r="O73" s="23" t="str">
        <f>IF('Paste Sample Names Here'!K75="", "", 'Paste Sample Names Here'!K75)</f>
        <v/>
      </c>
      <c r="P73" s="24" t="str">
        <f>IF('Paste Sample Names Here'!J75="", "", 'Paste Sample Names Here'!J75)</f>
        <v/>
      </c>
      <c r="Q73" s="23" t="str">
        <f t="shared" si="4"/>
        <v/>
      </c>
      <c r="R73" s="23" t="str">
        <f>IF(P73="", "", Sheet3!H90)</f>
        <v/>
      </c>
      <c r="S73" s="23" t="str">
        <f ca="1">IF(P73="", "", OFFSET(Data!$C$210, 2*Sheet3!B133, 0))</f>
        <v/>
      </c>
      <c r="T73" s="23" t="str">
        <f ca="1">IF(P73="", "", OFFSET(Data!$E$210, 2*Sheet3!B133, 0))</f>
        <v/>
      </c>
      <c r="U73" s="23"/>
      <c r="V73" s="23" t="str">
        <f>IF('Paste Sample Names Here'!O75="","", 'Paste Sample Names Here'!O75)</f>
        <v/>
      </c>
      <c r="W73" s="24" t="str">
        <f>IF('Paste Sample Names Here'!N75="", "",'Paste Sample Names Here'!N75)</f>
        <v/>
      </c>
      <c r="X73" s="23" t="str">
        <f t="shared" si="5"/>
        <v/>
      </c>
      <c r="Y73" s="23" t="str">
        <f>IF(W73="", "", Sheet3!H90)</f>
        <v/>
      </c>
      <c r="Z73" s="23" t="str">
        <f ca="1">IF(W73="", "", OFFSET(Data!$C$211, 2*Sheet3!B133, 0))</f>
        <v/>
      </c>
      <c r="AA73" s="23" t="str">
        <f ca="1">IF(W73="", "", OFFSET(Data!$E$211, 2*Sheet3!B133, 0))</f>
        <v/>
      </c>
    </row>
    <row r="74" spans="1:27" x14ac:dyDescent="0.2">
      <c r="A74" s="23" t="s">
        <v>253</v>
      </c>
      <c r="B74" s="24" t="s">
        <v>322</v>
      </c>
      <c r="C74" s="23" t="s">
        <v>239</v>
      </c>
      <c r="D74" s="23" t="s">
        <v>238</v>
      </c>
      <c r="E74" s="23">
        <v>9.4200000762939453</v>
      </c>
      <c r="F74" s="23">
        <v>14369.180946663926</v>
      </c>
      <c r="G74" s="23"/>
      <c r="H74" s="23" t="str">
        <f>IF('Paste Sample Names Here'!G76="", "", 'Paste Sample Names Here'!G76)</f>
        <v/>
      </c>
      <c r="I74" s="24" t="str">
        <f>IF('Paste Sample Names Here'!F76="", "", 'Paste Sample Names Here'!F76)</f>
        <v/>
      </c>
      <c r="J74" s="23" t="str">
        <f t="shared" si="3"/>
        <v/>
      </c>
      <c r="K74" s="23" t="str">
        <f>IF(I74="", "", Sheet3!H91)</f>
        <v/>
      </c>
      <c r="L74" s="23" t="str">
        <f ca="1">IF(I74="", "", OFFSET(Data!$C$19, 2*Sheet3!B134, 0))</f>
        <v/>
      </c>
      <c r="M74" s="23" t="str">
        <f ca="1">IF(I74="", "", OFFSET(Data!$E$19, 2*Sheet3!B134, 0))</f>
        <v/>
      </c>
      <c r="N74" s="32"/>
      <c r="O74" s="23" t="str">
        <f>IF('Paste Sample Names Here'!K76="", "", 'Paste Sample Names Here'!K76)</f>
        <v/>
      </c>
      <c r="P74" s="24" t="str">
        <f>IF('Paste Sample Names Here'!J76="", "", 'Paste Sample Names Here'!J76)</f>
        <v/>
      </c>
      <c r="Q74" s="23" t="str">
        <f t="shared" si="4"/>
        <v/>
      </c>
      <c r="R74" s="23" t="str">
        <f>IF(P74="", "", Sheet3!H91)</f>
        <v/>
      </c>
      <c r="S74" s="23" t="str">
        <f ca="1">IF(P74="", "", OFFSET(Data!$C$210, 2*Sheet3!B134, 0))</f>
        <v/>
      </c>
      <c r="T74" s="23" t="str">
        <f ca="1">IF(P74="", "", OFFSET(Data!$E$210, 2*Sheet3!B134, 0))</f>
        <v/>
      </c>
      <c r="U74" s="23"/>
      <c r="V74" s="23" t="str">
        <f>IF('Paste Sample Names Here'!O76="","", 'Paste Sample Names Here'!O76)</f>
        <v/>
      </c>
      <c r="W74" s="24" t="str">
        <f>IF('Paste Sample Names Here'!N76="", "",'Paste Sample Names Here'!N76)</f>
        <v/>
      </c>
      <c r="X74" s="23" t="str">
        <f t="shared" si="5"/>
        <v/>
      </c>
      <c r="Y74" s="23" t="str">
        <f>IF(W74="", "", Sheet3!H91)</f>
        <v/>
      </c>
      <c r="Z74" s="23" t="str">
        <f ca="1">IF(W74="", "", OFFSET(Data!$C$211, 2*Sheet3!B134, 0))</f>
        <v/>
      </c>
      <c r="AA74" s="23" t="str">
        <f ca="1">IF(W74="", "", OFFSET(Data!$E$211, 2*Sheet3!B134, 0))</f>
        <v/>
      </c>
    </row>
    <row r="75" spans="1:27" x14ac:dyDescent="0.2">
      <c r="A75" s="23" t="s">
        <v>253</v>
      </c>
      <c r="B75" s="24" t="s">
        <v>323</v>
      </c>
      <c r="C75" s="23" t="s">
        <v>239</v>
      </c>
      <c r="D75" s="23" t="s">
        <v>115</v>
      </c>
      <c r="E75" s="23">
        <v>8.1879997253417969</v>
      </c>
      <c r="F75" s="23">
        <v>31281.060377455738</v>
      </c>
      <c r="G75" s="23"/>
      <c r="H75" s="23" t="str">
        <f>IF('Paste Sample Names Here'!G77="", "", 'Paste Sample Names Here'!G77)</f>
        <v/>
      </c>
      <c r="I75" s="24" t="str">
        <f>IF('Paste Sample Names Here'!F77="", "", 'Paste Sample Names Here'!F77)</f>
        <v/>
      </c>
      <c r="J75" s="23" t="str">
        <f t="shared" si="3"/>
        <v/>
      </c>
      <c r="K75" s="23" t="str">
        <f>IF(I75="", "", Sheet3!H92)</f>
        <v/>
      </c>
      <c r="L75" s="23" t="str">
        <f ca="1">IF(I75="", "", OFFSET(Data!$C$19, 2*Sheet3!B135, 0))</f>
        <v/>
      </c>
      <c r="M75" s="23" t="str">
        <f ca="1">IF(I75="", "", OFFSET(Data!$E$19, 2*Sheet3!B135, 0))</f>
        <v/>
      </c>
      <c r="N75" s="32"/>
      <c r="O75" s="23" t="str">
        <f>IF('Paste Sample Names Here'!K77="", "", 'Paste Sample Names Here'!K77)</f>
        <v/>
      </c>
      <c r="P75" s="24" t="str">
        <f>IF('Paste Sample Names Here'!J77="", "", 'Paste Sample Names Here'!J77)</f>
        <v/>
      </c>
      <c r="Q75" s="23" t="str">
        <f t="shared" si="4"/>
        <v/>
      </c>
      <c r="R75" s="23" t="str">
        <f>IF(P75="", "", Sheet3!H92)</f>
        <v/>
      </c>
      <c r="S75" s="23" t="str">
        <f ca="1">IF(P75="", "", OFFSET(Data!$C$210, 2*Sheet3!B135, 0))</f>
        <v/>
      </c>
      <c r="T75" s="23" t="str">
        <f ca="1">IF(P75="", "", OFFSET(Data!$E$210, 2*Sheet3!B135, 0))</f>
        <v/>
      </c>
      <c r="U75" s="23"/>
      <c r="V75" s="23" t="str">
        <f>IF('Paste Sample Names Here'!O77="","", 'Paste Sample Names Here'!O77)</f>
        <v/>
      </c>
      <c r="W75" s="24" t="str">
        <f>IF('Paste Sample Names Here'!N77="", "",'Paste Sample Names Here'!N77)</f>
        <v/>
      </c>
      <c r="X75" s="23" t="str">
        <f t="shared" si="5"/>
        <v/>
      </c>
      <c r="Y75" s="23" t="str">
        <f>IF(W75="", "", Sheet3!H92)</f>
        <v/>
      </c>
      <c r="Z75" s="23" t="str">
        <f ca="1">IF(W75="", "", OFFSET(Data!$C$211, 2*Sheet3!B135, 0))</f>
        <v/>
      </c>
      <c r="AA75" s="23" t="str">
        <f ca="1">IF(W75="", "", OFFSET(Data!$E$211, 2*Sheet3!B135, 0))</f>
        <v/>
      </c>
    </row>
    <row r="76" spans="1:27" x14ac:dyDescent="0.2">
      <c r="A76" s="23" t="s">
        <v>253</v>
      </c>
      <c r="B76" s="24" t="s">
        <v>324</v>
      </c>
      <c r="C76" s="23" t="s">
        <v>239</v>
      </c>
      <c r="D76" s="23" t="s">
        <v>116</v>
      </c>
      <c r="E76" s="23">
        <v>7.8629999160766602</v>
      </c>
      <c r="F76" s="23">
        <v>38406.57995926711</v>
      </c>
      <c r="G76" s="23"/>
      <c r="H76" s="23" t="str">
        <f>IF('Paste Sample Names Here'!G78="", "", 'Paste Sample Names Here'!G78)</f>
        <v/>
      </c>
      <c r="I76" s="24" t="str">
        <f>IF('Paste Sample Names Here'!F78="", "", 'Paste Sample Names Here'!F78)</f>
        <v/>
      </c>
      <c r="J76" s="23" t="str">
        <f t="shared" si="3"/>
        <v/>
      </c>
      <c r="K76" s="23" t="str">
        <f>IF(I76="", "", Sheet3!H93)</f>
        <v/>
      </c>
      <c r="L76" s="23" t="str">
        <f ca="1">IF(I76="", "", OFFSET(Data!$C$19, 2*Sheet3!B136, 0))</f>
        <v/>
      </c>
      <c r="M76" s="23" t="str">
        <f ca="1">IF(I76="", "", OFFSET(Data!$E$19, 2*Sheet3!B136, 0))</f>
        <v/>
      </c>
      <c r="N76" s="32"/>
      <c r="O76" s="23" t="str">
        <f>IF('Paste Sample Names Here'!K78="", "", 'Paste Sample Names Here'!K78)</f>
        <v/>
      </c>
      <c r="P76" s="24" t="str">
        <f>IF('Paste Sample Names Here'!J78="", "", 'Paste Sample Names Here'!J78)</f>
        <v/>
      </c>
      <c r="Q76" s="23" t="str">
        <f t="shared" si="4"/>
        <v/>
      </c>
      <c r="R76" s="23" t="str">
        <f>IF(P76="", "", Sheet3!H93)</f>
        <v/>
      </c>
      <c r="S76" s="23" t="str">
        <f ca="1">IF(P76="", "", OFFSET(Data!$C$210, 2*Sheet3!B136, 0))</f>
        <v/>
      </c>
      <c r="T76" s="23" t="str">
        <f ca="1">IF(P76="", "", OFFSET(Data!$E$210, 2*Sheet3!B136, 0))</f>
        <v/>
      </c>
      <c r="U76" s="23"/>
      <c r="V76" s="23" t="str">
        <f>IF('Paste Sample Names Here'!O78="","", 'Paste Sample Names Here'!O78)</f>
        <v/>
      </c>
      <c r="W76" s="24" t="str">
        <f>IF('Paste Sample Names Here'!N78="", "",'Paste Sample Names Here'!N78)</f>
        <v/>
      </c>
      <c r="X76" s="23" t="str">
        <f t="shared" si="5"/>
        <v/>
      </c>
      <c r="Y76" s="23" t="str">
        <f>IF(W76="", "", Sheet3!H93)</f>
        <v/>
      </c>
      <c r="Z76" s="23" t="str">
        <f ca="1">IF(W76="", "", OFFSET(Data!$C$211, 2*Sheet3!B136, 0))</f>
        <v/>
      </c>
      <c r="AA76" s="23" t="str">
        <f ca="1">IF(W76="", "", OFFSET(Data!$E$211, 2*Sheet3!B136, 0))</f>
        <v/>
      </c>
    </row>
    <row r="77" spans="1:27" x14ac:dyDescent="0.2">
      <c r="A77" s="23" t="s">
        <v>253</v>
      </c>
      <c r="B77" s="24" t="s">
        <v>325</v>
      </c>
      <c r="C77" s="23" t="s">
        <v>239</v>
      </c>
      <c r="D77" s="23" t="s">
        <v>117</v>
      </c>
      <c r="E77" s="23">
        <v>8.1210002899169922</v>
      </c>
      <c r="F77" s="23">
        <v>32632.820549308042</v>
      </c>
      <c r="G77" s="23"/>
      <c r="H77" s="23" t="str">
        <f>IF('Paste Sample Names Here'!G79="", "", 'Paste Sample Names Here'!G79)</f>
        <v/>
      </c>
      <c r="I77" s="24" t="str">
        <f>IF('Paste Sample Names Here'!F79="", "", 'Paste Sample Names Here'!F79)</f>
        <v/>
      </c>
      <c r="J77" s="23" t="str">
        <f t="shared" si="3"/>
        <v/>
      </c>
      <c r="K77" s="23" t="str">
        <f>IF(I77="", "", Sheet3!H94)</f>
        <v/>
      </c>
      <c r="L77" s="23" t="str">
        <f ca="1">IF(I77="", "", OFFSET(Data!$C$19, 2*Sheet3!B137, 0))</f>
        <v/>
      </c>
      <c r="M77" s="23" t="str">
        <f ca="1">IF(I77="", "", OFFSET(Data!$E$19, 2*Sheet3!B137, 0))</f>
        <v/>
      </c>
      <c r="N77" s="32"/>
      <c r="O77" s="23" t="str">
        <f>IF('Paste Sample Names Here'!K79="", "", 'Paste Sample Names Here'!K79)</f>
        <v/>
      </c>
      <c r="P77" s="24" t="str">
        <f>IF('Paste Sample Names Here'!J79="", "", 'Paste Sample Names Here'!J79)</f>
        <v/>
      </c>
      <c r="Q77" s="23" t="str">
        <f t="shared" si="4"/>
        <v/>
      </c>
      <c r="R77" s="23" t="str">
        <f>IF(P77="", "", Sheet3!H94)</f>
        <v/>
      </c>
      <c r="S77" s="23" t="str">
        <f ca="1">IF(P77="", "", OFFSET(Data!$C$210, 2*Sheet3!B137, 0))</f>
        <v/>
      </c>
      <c r="T77" s="23" t="str">
        <f ca="1">IF(P77="", "", OFFSET(Data!$E$210, 2*Sheet3!B137, 0))</f>
        <v/>
      </c>
      <c r="U77" s="23"/>
      <c r="V77" s="23" t="str">
        <f>IF('Paste Sample Names Here'!O79="","", 'Paste Sample Names Here'!O79)</f>
        <v/>
      </c>
      <c r="W77" s="24" t="str">
        <f>IF('Paste Sample Names Here'!N79="", "",'Paste Sample Names Here'!N79)</f>
        <v/>
      </c>
      <c r="X77" s="23" t="str">
        <f t="shared" si="5"/>
        <v/>
      </c>
      <c r="Y77" s="23" t="str">
        <f>IF(W77="", "", Sheet3!H94)</f>
        <v/>
      </c>
      <c r="Z77" s="23" t="str">
        <f ca="1">IF(W77="", "", OFFSET(Data!$C$211, 2*Sheet3!B137, 0))</f>
        <v/>
      </c>
      <c r="AA77" s="23" t="str">
        <f ca="1">IF(W77="", "", OFFSET(Data!$E$211, 2*Sheet3!B137, 0))</f>
        <v/>
      </c>
    </row>
    <row r="78" spans="1:27" x14ac:dyDescent="0.2">
      <c r="A78" s="23" t="s">
        <v>253</v>
      </c>
      <c r="B78" s="24" t="s">
        <v>326</v>
      </c>
      <c r="C78" s="23" t="s">
        <v>239</v>
      </c>
      <c r="D78" s="23" t="s">
        <v>118</v>
      </c>
      <c r="E78" s="23">
        <v>6.9840002059936523</v>
      </c>
      <c r="F78" s="23">
        <v>66904.032812275138</v>
      </c>
      <c r="G78" s="23"/>
      <c r="H78" s="23" t="str">
        <f>IF('Paste Sample Names Here'!G80="", "", 'Paste Sample Names Here'!G80)</f>
        <v/>
      </c>
      <c r="I78" s="24" t="str">
        <f>IF('Paste Sample Names Here'!F80="", "", 'Paste Sample Names Here'!F80)</f>
        <v/>
      </c>
      <c r="J78" s="23" t="str">
        <f t="shared" si="3"/>
        <v/>
      </c>
      <c r="K78" s="23" t="str">
        <f>IF(I78="", "", Sheet3!H95)</f>
        <v/>
      </c>
      <c r="L78" s="23" t="str">
        <f ca="1">IF(I78="", "", OFFSET(Data!$C$19, 2*Sheet3!B138, 0))</f>
        <v/>
      </c>
      <c r="M78" s="23" t="str">
        <f ca="1">IF(I78="", "", OFFSET(Data!$E$19, 2*Sheet3!B138, 0))</f>
        <v/>
      </c>
      <c r="N78" s="32"/>
      <c r="O78" s="23" t="str">
        <f>IF('Paste Sample Names Here'!K80="", "", 'Paste Sample Names Here'!K80)</f>
        <v/>
      </c>
      <c r="P78" s="24" t="str">
        <f>IF('Paste Sample Names Here'!J80="", "", 'Paste Sample Names Here'!J80)</f>
        <v/>
      </c>
      <c r="Q78" s="23" t="str">
        <f t="shared" si="4"/>
        <v/>
      </c>
      <c r="R78" s="23" t="str">
        <f>IF(P78="", "", Sheet3!H95)</f>
        <v/>
      </c>
      <c r="S78" s="23" t="str">
        <f ca="1">IF(P78="", "", OFFSET(Data!$C$210, 2*Sheet3!B138, 0))</f>
        <v/>
      </c>
      <c r="T78" s="23" t="str">
        <f ca="1">IF(P78="", "", OFFSET(Data!$E$210, 2*Sheet3!B138, 0))</f>
        <v/>
      </c>
      <c r="U78" s="23"/>
      <c r="V78" s="23" t="str">
        <f>IF('Paste Sample Names Here'!O80="","", 'Paste Sample Names Here'!O80)</f>
        <v/>
      </c>
      <c r="W78" s="24" t="str">
        <f>IF('Paste Sample Names Here'!N80="", "",'Paste Sample Names Here'!N80)</f>
        <v/>
      </c>
      <c r="X78" s="23" t="str">
        <f t="shared" si="5"/>
        <v/>
      </c>
      <c r="Y78" s="23" t="str">
        <f>IF(W78="", "", Sheet3!H95)</f>
        <v/>
      </c>
      <c r="Z78" s="23" t="str">
        <f ca="1">IF(W78="", "", OFFSET(Data!$C$211, 2*Sheet3!B138, 0))</f>
        <v/>
      </c>
      <c r="AA78" s="23" t="str">
        <f ca="1">IF(W78="", "", OFFSET(Data!$E$211, 2*Sheet3!B138, 0))</f>
        <v/>
      </c>
    </row>
    <row r="79" spans="1:27" x14ac:dyDescent="0.2">
      <c r="A79" s="23" t="s">
        <v>253</v>
      </c>
      <c r="B79" s="24" t="s">
        <v>327</v>
      </c>
      <c r="C79" s="23" t="s">
        <v>239</v>
      </c>
      <c r="D79" s="23" t="s">
        <v>119</v>
      </c>
      <c r="E79" s="23">
        <v>6.5359997749328613</v>
      </c>
      <c r="F79" s="23">
        <v>88778.27994728247</v>
      </c>
      <c r="G79" s="23"/>
      <c r="H79" s="23" t="str">
        <f>IF('Paste Sample Names Here'!G81="", "", 'Paste Sample Names Here'!G81)</f>
        <v/>
      </c>
      <c r="I79" s="24" t="str">
        <f>IF('Paste Sample Names Here'!F81="", "", 'Paste Sample Names Here'!F81)</f>
        <v/>
      </c>
      <c r="J79" s="23" t="str">
        <f t="shared" si="3"/>
        <v/>
      </c>
      <c r="K79" s="23" t="str">
        <f>IF(I79="", "", Sheet3!H96)</f>
        <v/>
      </c>
      <c r="L79" s="23" t="str">
        <f ca="1">IF(I79="", "", OFFSET(Data!$C$19, 2*Sheet3!B139, 0))</f>
        <v/>
      </c>
      <c r="M79" s="23" t="str">
        <f ca="1">IF(I79="", "", OFFSET(Data!$E$19, 2*Sheet3!B139, 0))</f>
        <v/>
      </c>
      <c r="N79" s="32"/>
      <c r="O79" s="23" t="str">
        <f>IF('Paste Sample Names Here'!K81="", "", 'Paste Sample Names Here'!K81)</f>
        <v/>
      </c>
      <c r="P79" s="24" t="str">
        <f>IF('Paste Sample Names Here'!J81="", "", 'Paste Sample Names Here'!J81)</f>
        <v/>
      </c>
      <c r="Q79" s="23" t="str">
        <f t="shared" si="4"/>
        <v/>
      </c>
      <c r="R79" s="23" t="str">
        <f>IF(P79="", "", Sheet3!H96)</f>
        <v/>
      </c>
      <c r="S79" s="23" t="str">
        <f ca="1">IF(P79="", "", OFFSET(Data!$C$210, 2*Sheet3!B139, 0))</f>
        <v/>
      </c>
      <c r="T79" s="23" t="str">
        <f ca="1">IF(P79="", "", OFFSET(Data!$E$210, 2*Sheet3!B139, 0))</f>
        <v/>
      </c>
      <c r="U79" s="23"/>
      <c r="V79" s="23" t="str">
        <f>IF('Paste Sample Names Here'!O81="","", 'Paste Sample Names Here'!O81)</f>
        <v/>
      </c>
      <c r="W79" s="24" t="str">
        <f>IF('Paste Sample Names Here'!N81="", "",'Paste Sample Names Here'!N81)</f>
        <v/>
      </c>
      <c r="X79" s="23" t="str">
        <f t="shared" si="5"/>
        <v/>
      </c>
      <c r="Y79" s="23" t="str">
        <f>IF(W79="", "", Sheet3!H96)</f>
        <v/>
      </c>
      <c r="Z79" s="23" t="str">
        <f ca="1">IF(W79="", "", OFFSET(Data!$C$211, 2*Sheet3!B139, 0))</f>
        <v/>
      </c>
      <c r="AA79" s="23" t="str">
        <f ca="1">IF(W79="", "", OFFSET(Data!$E$211, 2*Sheet3!B139, 0))</f>
        <v/>
      </c>
    </row>
    <row r="80" spans="1:27" x14ac:dyDescent="0.2">
      <c r="A80" s="23" t="s">
        <v>253</v>
      </c>
      <c r="B80" s="24" t="s">
        <v>328</v>
      </c>
      <c r="C80" s="23" t="s">
        <v>239</v>
      </c>
      <c r="D80" s="23" t="s">
        <v>120</v>
      </c>
      <c r="E80" s="23">
        <v>7.3810000419616699</v>
      </c>
      <c r="F80" s="23">
        <v>52069.532370570683</v>
      </c>
      <c r="G80" s="23"/>
      <c r="H80" s="23" t="str">
        <f>IF('Paste Sample Names Here'!G82="", "", 'Paste Sample Names Here'!G82)</f>
        <v/>
      </c>
      <c r="I80" s="24" t="str">
        <f>IF('Paste Sample Names Here'!F82="", "", 'Paste Sample Names Here'!F82)</f>
        <v/>
      </c>
      <c r="J80" s="23" t="str">
        <f t="shared" si="3"/>
        <v/>
      </c>
      <c r="K80" s="23" t="str">
        <f>IF(I80="", "", Sheet3!H97)</f>
        <v/>
      </c>
      <c r="L80" s="23" t="str">
        <f ca="1">IF(I80="", "", OFFSET(Data!$C$19, 2*Sheet3!B140, 0))</f>
        <v/>
      </c>
      <c r="M80" s="23" t="str">
        <f ca="1">IF(I80="", "", OFFSET(Data!$E$19, 2*Sheet3!B140, 0))</f>
        <v/>
      </c>
      <c r="N80" s="32"/>
      <c r="O80" s="23" t="str">
        <f>IF('Paste Sample Names Here'!K82="", "", 'Paste Sample Names Here'!K82)</f>
        <v/>
      </c>
      <c r="P80" s="24" t="str">
        <f>IF('Paste Sample Names Here'!J82="", "", 'Paste Sample Names Here'!J82)</f>
        <v/>
      </c>
      <c r="Q80" s="23" t="str">
        <f t="shared" si="4"/>
        <v/>
      </c>
      <c r="R80" s="23" t="str">
        <f>IF(P80="", "", Sheet3!H97)</f>
        <v/>
      </c>
      <c r="S80" s="23" t="str">
        <f ca="1">IF(P80="", "", OFFSET(Data!$C$210, 2*Sheet3!B140, 0))</f>
        <v/>
      </c>
      <c r="T80" s="23" t="str">
        <f ca="1">IF(P80="", "", OFFSET(Data!$E$210, 2*Sheet3!B140, 0))</f>
        <v/>
      </c>
      <c r="U80" s="23"/>
      <c r="V80" s="23" t="str">
        <f>IF('Paste Sample Names Here'!O82="","", 'Paste Sample Names Here'!O82)</f>
        <v/>
      </c>
      <c r="W80" s="24" t="str">
        <f>IF('Paste Sample Names Here'!N82="", "",'Paste Sample Names Here'!N82)</f>
        <v/>
      </c>
      <c r="X80" s="23" t="str">
        <f t="shared" si="5"/>
        <v/>
      </c>
      <c r="Y80" s="23" t="str">
        <f>IF(W80="", "", Sheet3!H97)</f>
        <v/>
      </c>
      <c r="Z80" s="23" t="str">
        <f ca="1">IF(W80="", "", OFFSET(Data!$C$211, 2*Sheet3!B140, 0))</f>
        <v/>
      </c>
      <c r="AA80" s="23" t="str">
        <f ca="1">IF(W80="", "", OFFSET(Data!$E$211, 2*Sheet3!B140, 0))</f>
        <v/>
      </c>
    </row>
    <row r="81" spans="1:27" x14ac:dyDescent="0.2">
      <c r="A81" s="23" t="s">
        <v>253</v>
      </c>
      <c r="B81" s="24" t="s">
        <v>329</v>
      </c>
      <c r="C81" s="23" t="s">
        <v>239</v>
      </c>
      <c r="D81" s="23" t="s">
        <v>121</v>
      </c>
      <c r="E81" s="23">
        <v>7.3350000381469727</v>
      </c>
      <c r="F81" s="23">
        <v>53604.121585727844</v>
      </c>
      <c r="G81" s="23"/>
      <c r="H81" s="23" t="str">
        <f>IF('Paste Sample Names Here'!G83="", "", 'Paste Sample Names Here'!G83)</f>
        <v/>
      </c>
      <c r="I81" s="24" t="str">
        <f>IF('Paste Sample Names Here'!F83="", "", 'Paste Sample Names Here'!F83)</f>
        <v/>
      </c>
      <c r="J81" s="23" t="str">
        <f t="shared" si="3"/>
        <v/>
      </c>
      <c r="K81" s="23" t="str">
        <f>IF(I81="", "", Sheet3!H98)</f>
        <v/>
      </c>
      <c r="L81" s="23" t="str">
        <f ca="1">IF(I81="", "", OFFSET(Data!$C$19, 2*Sheet3!B141, 0))</f>
        <v/>
      </c>
      <c r="M81" s="23" t="str">
        <f ca="1">IF(I81="", "", OFFSET(Data!$E$19, 2*Sheet3!B141, 0))</f>
        <v/>
      </c>
      <c r="N81" s="32"/>
      <c r="O81" s="23" t="str">
        <f>IF('Paste Sample Names Here'!K83="", "", 'Paste Sample Names Here'!K83)</f>
        <v/>
      </c>
      <c r="P81" s="24" t="str">
        <f>IF('Paste Sample Names Here'!J83="", "", 'Paste Sample Names Here'!J83)</f>
        <v/>
      </c>
      <c r="Q81" s="23" t="str">
        <f t="shared" si="4"/>
        <v/>
      </c>
      <c r="R81" s="23" t="str">
        <f>IF(P81="", "", Sheet3!H98)</f>
        <v/>
      </c>
      <c r="S81" s="23" t="str">
        <f ca="1">IF(P81="", "", OFFSET(Data!$C$210, 2*Sheet3!B141, 0))</f>
        <v/>
      </c>
      <c r="T81" s="23" t="str">
        <f ca="1">IF(P81="", "", OFFSET(Data!$E$210, 2*Sheet3!B141, 0))</f>
        <v/>
      </c>
      <c r="U81" s="23"/>
      <c r="V81" s="23" t="str">
        <f>IF('Paste Sample Names Here'!O83="","", 'Paste Sample Names Here'!O83)</f>
        <v/>
      </c>
      <c r="W81" s="24" t="str">
        <f>IF('Paste Sample Names Here'!N83="", "",'Paste Sample Names Here'!N83)</f>
        <v/>
      </c>
      <c r="X81" s="23" t="str">
        <f t="shared" si="5"/>
        <v/>
      </c>
      <c r="Y81" s="23" t="str">
        <f>IF(W81="", "", Sheet3!H98)</f>
        <v/>
      </c>
      <c r="Z81" s="23" t="str">
        <f ca="1">IF(W81="", "", OFFSET(Data!$C$211, 2*Sheet3!B141, 0))</f>
        <v/>
      </c>
      <c r="AA81" s="23" t="str">
        <f ca="1">IF(W81="", "", OFFSET(Data!$E$211, 2*Sheet3!B141, 0))</f>
        <v/>
      </c>
    </row>
    <row r="82" spans="1:27" x14ac:dyDescent="0.2">
      <c r="A82" s="23" t="s">
        <v>253</v>
      </c>
      <c r="B82" s="24" t="s">
        <v>330</v>
      </c>
      <c r="C82" s="23" t="s">
        <v>239</v>
      </c>
      <c r="D82" s="23" t="s">
        <v>122</v>
      </c>
      <c r="E82" s="23">
        <v>7.744999885559082</v>
      </c>
      <c r="F82" s="23">
        <v>41377.532853671415</v>
      </c>
      <c r="G82" s="23"/>
      <c r="H82" s="23" t="str">
        <f>IF('Paste Sample Names Here'!G84="", "", 'Paste Sample Names Here'!G84)</f>
        <v/>
      </c>
      <c r="I82" s="24" t="str">
        <f>IF('Paste Sample Names Here'!F84="", "", 'Paste Sample Names Here'!F84)</f>
        <v/>
      </c>
      <c r="J82" s="23" t="str">
        <f t="shared" si="3"/>
        <v/>
      </c>
      <c r="K82" s="23" t="str">
        <f>IF(I82="", "", Sheet3!H99)</f>
        <v/>
      </c>
      <c r="L82" s="23" t="str">
        <f ca="1">IF(I82="", "", OFFSET(Data!$C$19, 2*Sheet3!B142, 0))</f>
        <v/>
      </c>
      <c r="M82" s="23" t="str">
        <f ca="1">IF(I82="", "", OFFSET(Data!$E$19, 2*Sheet3!B142, 0))</f>
        <v/>
      </c>
      <c r="N82" s="32"/>
      <c r="O82" s="23" t="str">
        <f>IF('Paste Sample Names Here'!K84="", "", 'Paste Sample Names Here'!K84)</f>
        <v/>
      </c>
      <c r="P82" s="24" t="str">
        <f>IF('Paste Sample Names Here'!J84="", "", 'Paste Sample Names Here'!J84)</f>
        <v/>
      </c>
      <c r="Q82" s="23" t="str">
        <f t="shared" si="4"/>
        <v/>
      </c>
      <c r="R82" s="23" t="str">
        <f>IF(P82="", "", Sheet3!H99)</f>
        <v/>
      </c>
      <c r="S82" s="23" t="str">
        <f ca="1">IF(P82="", "", OFFSET(Data!$C$210, 2*Sheet3!B142, 0))</f>
        <v/>
      </c>
      <c r="T82" s="23" t="str">
        <f ca="1">IF(P82="", "", OFFSET(Data!$E$210, 2*Sheet3!B142, 0))</f>
        <v/>
      </c>
      <c r="U82" s="23"/>
      <c r="V82" s="23" t="str">
        <f>IF('Paste Sample Names Here'!O84="","", 'Paste Sample Names Here'!O84)</f>
        <v/>
      </c>
      <c r="W82" s="24" t="str">
        <f>IF('Paste Sample Names Here'!N84="", "",'Paste Sample Names Here'!N84)</f>
        <v/>
      </c>
      <c r="X82" s="23" t="str">
        <f t="shared" si="5"/>
        <v/>
      </c>
      <c r="Y82" s="23" t="str">
        <f>IF(W82="", "", Sheet3!H99)</f>
        <v/>
      </c>
      <c r="Z82" s="23" t="str">
        <f ca="1">IF(W82="", "", OFFSET(Data!$C$211, 2*Sheet3!B142, 0))</f>
        <v/>
      </c>
      <c r="AA82" s="23" t="str">
        <f ca="1">IF(W82="", "", OFFSET(Data!$E$211, 2*Sheet3!B142, 0))</f>
        <v/>
      </c>
    </row>
    <row r="83" spans="1:27" x14ac:dyDescent="0.2">
      <c r="A83" s="23" t="s">
        <v>253</v>
      </c>
      <c r="B83" s="24" t="s">
        <v>331</v>
      </c>
      <c r="C83" s="23" t="s">
        <v>239</v>
      </c>
      <c r="D83" s="23" t="s">
        <v>123</v>
      </c>
      <c r="E83" s="23">
        <v>6.4879999160766602</v>
      </c>
      <c r="F83" s="23">
        <v>91510.230586270802</v>
      </c>
      <c r="G83" s="23"/>
      <c r="H83" s="23" t="str">
        <f>IF('Paste Sample Names Here'!G85="", "", 'Paste Sample Names Here'!G85)</f>
        <v/>
      </c>
      <c r="I83" s="24" t="str">
        <f>IF('Paste Sample Names Here'!F85="", "", 'Paste Sample Names Here'!F85)</f>
        <v/>
      </c>
      <c r="J83" s="23" t="str">
        <f t="shared" si="3"/>
        <v/>
      </c>
      <c r="K83" s="23" t="str">
        <f>IF(I83="", "", Sheet3!H100)</f>
        <v/>
      </c>
      <c r="L83" s="23" t="str">
        <f ca="1">IF(I83="", "", OFFSET(Data!$C$19, 2*Sheet3!B143, 0))</f>
        <v/>
      </c>
      <c r="M83" s="23" t="str">
        <f ca="1">IF(I83="", "", OFFSET(Data!$E$19, 2*Sheet3!B143, 0))</f>
        <v/>
      </c>
      <c r="N83" s="32"/>
      <c r="O83" s="23" t="str">
        <f>IF('Paste Sample Names Here'!K85="", "", 'Paste Sample Names Here'!K85)</f>
        <v/>
      </c>
      <c r="P83" s="24" t="str">
        <f>IF('Paste Sample Names Here'!J85="", "", 'Paste Sample Names Here'!J85)</f>
        <v/>
      </c>
      <c r="Q83" s="23" t="str">
        <f t="shared" si="4"/>
        <v/>
      </c>
      <c r="R83" s="23" t="str">
        <f>IF(P83="", "", Sheet3!H100)</f>
        <v/>
      </c>
      <c r="S83" s="23" t="str">
        <f ca="1">IF(P83="", "", OFFSET(Data!$C$210, 2*Sheet3!B143, 0))</f>
        <v/>
      </c>
      <c r="T83" s="23" t="str">
        <f ca="1">IF(P83="", "", OFFSET(Data!$E$210, 2*Sheet3!B143, 0))</f>
        <v/>
      </c>
      <c r="U83" s="23"/>
      <c r="V83" s="23" t="str">
        <f>IF('Paste Sample Names Here'!O85="","", 'Paste Sample Names Here'!O85)</f>
        <v/>
      </c>
      <c r="W83" s="24" t="str">
        <f>IF('Paste Sample Names Here'!N85="", "",'Paste Sample Names Here'!N85)</f>
        <v/>
      </c>
      <c r="X83" s="23" t="str">
        <f t="shared" si="5"/>
        <v/>
      </c>
      <c r="Y83" s="23" t="str">
        <f>IF(W83="", "", Sheet3!H100)</f>
        <v/>
      </c>
      <c r="Z83" s="23" t="str">
        <f ca="1">IF(W83="", "", OFFSET(Data!$C$211, 2*Sheet3!B143, 0))</f>
        <v/>
      </c>
      <c r="AA83" s="23" t="str">
        <f ca="1">IF(W83="", "", OFFSET(Data!$E$211, 2*Sheet3!B143, 0))</f>
        <v/>
      </c>
    </row>
    <row r="84" spans="1:27" x14ac:dyDescent="0.2">
      <c r="A84" s="23" t="s">
        <v>253</v>
      </c>
      <c r="B84" s="24" t="s">
        <v>332</v>
      </c>
      <c r="C84" s="23" t="s">
        <v>239</v>
      </c>
      <c r="D84" s="23" t="s">
        <v>124</v>
      </c>
      <c r="E84" s="23">
        <v>5.1100001335144043</v>
      </c>
      <c r="F84" s="23">
        <v>218452.13278492802</v>
      </c>
      <c r="G84" s="23"/>
      <c r="H84" s="23" t="str">
        <f>IF('Paste Sample Names Here'!G86="", "", 'Paste Sample Names Here'!G86)</f>
        <v/>
      </c>
      <c r="I84" s="24" t="str">
        <f>IF('Paste Sample Names Here'!F86="", "", 'Paste Sample Names Here'!F86)</f>
        <v/>
      </c>
      <c r="J84" s="23" t="str">
        <f t="shared" si="3"/>
        <v/>
      </c>
      <c r="K84" s="23" t="str">
        <f>IF(I84="", "", Sheet3!H101)</f>
        <v/>
      </c>
      <c r="L84" s="23" t="str">
        <f ca="1">IF(I84="", "", OFFSET(Data!$C$19, 2*Sheet3!B144, 0))</f>
        <v/>
      </c>
      <c r="M84" s="23" t="str">
        <f ca="1">IF(I84="", "", OFFSET(Data!$E$19, 2*Sheet3!B144, 0))</f>
        <v/>
      </c>
      <c r="N84" s="32"/>
      <c r="O84" s="23" t="str">
        <f>IF('Paste Sample Names Here'!K86="", "", 'Paste Sample Names Here'!K86)</f>
        <v/>
      </c>
      <c r="P84" s="24" t="str">
        <f>IF('Paste Sample Names Here'!J86="", "", 'Paste Sample Names Here'!J86)</f>
        <v/>
      </c>
      <c r="Q84" s="23" t="str">
        <f t="shared" si="4"/>
        <v/>
      </c>
      <c r="R84" s="23" t="str">
        <f>IF(P84="", "", Sheet3!H101)</f>
        <v/>
      </c>
      <c r="S84" s="23" t="str">
        <f ca="1">IF(P84="", "", OFFSET(Data!$C$210, 2*Sheet3!B144, 0))</f>
        <v/>
      </c>
      <c r="T84" s="23" t="str">
        <f ca="1">IF(P84="", "", OFFSET(Data!$E$210, 2*Sheet3!B144, 0))</f>
        <v/>
      </c>
      <c r="U84" s="23"/>
      <c r="V84" s="23" t="str">
        <f>IF('Paste Sample Names Here'!O86="","", 'Paste Sample Names Here'!O86)</f>
        <v/>
      </c>
      <c r="W84" s="24" t="str">
        <f>IF('Paste Sample Names Here'!N86="", "",'Paste Sample Names Here'!N86)</f>
        <v/>
      </c>
      <c r="X84" s="23" t="str">
        <f t="shared" si="5"/>
        <v/>
      </c>
      <c r="Y84" s="23" t="str">
        <f>IF(W84="", "", Sheet3!H101)</f>
        <v/>
      </c>
      <c r="Z84" s="23" t="str">
        <f ca="1">IF(W84="", "", OFFSET(Data!$C$211, 2*Sheet3!B144, 0))</f>
        <v/>
      </c>
      <c r="AA84" s="23" t="str">
        <f ca="1">IF(W84="", "", OFFSET(Data!$E$211, 2*Sheet3!B144, 0))</f>
        <v/>
      </c>
    </row>
    <row r="85" spans="1:27" x14ac:dyDescent="0.2">
      <c r="A85" s="23" t="s">
        <v>253</v>
      </c>
      <c r="B85" s="24" t="s">
        <v>333</v>
      </c>
      <c r="C85" s="23" t="s">
        <v>239</v>
      </c>
      <c r="D85" s="23" t="s">
        <v>125</v>
      </c>
      <c r="E85" s="23">
        <v>7.0710000991821289</v>
      </c>
      <c r="F85" s="23">
        <v>63327.808251627437</v>
      </c>
      <c r="G85" s="23"/>
      <c r="H85" s="23" t="str">
        <f>IF('Paste Sample Names Here'!G87="", "", 'Paste Sample Names Here'!G87)</f>
        <v/>
      </c>
      <c r="I85" s="24" t="str">
        <f>IF('Paste Sample Names Here'!F87="", "", 'Paste Sample Names Here'!F87)</f>
        <v/>
      </c>
      <c r="J85" s="23" t="str">
        <f t="shared" si="3"/>
        <v/>
      </c>
      <c r="K85" s="23" t="str">
        <f>IF(I85="", "", Sheet3!H102)</f>
        <v/>
      </c>
      <c r="L85" s="23" t="str">
        <f ca="1">IF(I85="", "", OFFSET(Data!$C$19, 2*Sheet3!B145, 0))</f>
        <v/>
      </c>
      <c r="M85" s="23" t="str">
        <f ca="1">IF(I85="", "", OFFSET(Data!$E$19, 2*Sheet3!B145, 0))</f>
        <v/>
      </c>
      <c r="N85" s="32"/>
      <c r="O85" s="23" t="str">
        <f>IF('Paste Sample Names Here'!K87="", "", 'Paste Sample Names Here'!K87)</f>
        <v/>
      </c>
      <c r="P85" s="24" t="str">
        <f>IF('Paste Sample Names Here'!J87="", "", 'Paste Sample Names Here'!J87)</f>
        <v/>
      </c>
      <c r="Q85" s="23" t="str">
        <f t="shared" si="4"/>
        <v/>
      </c>
      <c r="R85" s="23" t="str">
        <f>IF(P85="", "", Sheet3!H102)</f>
        <v/>
      </c>
      <c r="S85" s="23" t="str">
        <f ca="1">IF(P85="", "", OFFSET(Data!$C$210, 2*Sheet3!B145, 0))</f>
        <v/>
      </c>
      <c r="T85" s="23" t="str">
        <f ca="1">IF(P85="", "", OFFSET(Data!$E$210, 2*Sheet3!B145, 0))</f>
        <v/>
      </c>
      <c r="U85" s="23"/>
      <c r="V85" s="23" t="str">
        <f>IF('Paste Sample Names Here'!O87="","", 'Paste Sample Names Here'!O87)</f>
        <v/>
      </c>
      <c r="W85" s="24" t="str">
        <f>IF('Paste Sample Names Here'!N87="", "",'Paste Sample Names Here'!N87)</f>
        <v/>
      </c>
      <c r="X85" s="23" t="str">
        <f t="shared" si="5"/>
        <v/>
      </c>
      <c r="Y85" s="23" t="str">
        <f>IF(W85="", "", Sheet3!H102)</f>
        <v/>
      </c>
      <c r="Z85" s="23" t="str">
        <f ca="1">IF(W85="", "", OFFSET(Data!$C$211, 2*Sheet3!B145, 0))</f>
        <v/>
      </c>
      <c r="AA85" s="23" t="str">
        <f ca="1">IF(W85="", "", OFFSET(Data!$E$211, 2*Sheet3!B145, 0))</f>
        <v/>
      </c>
    </row>
    <row r="86" spans="1:27" x14ac:dyDescent="0.2">
      <c r="A86" s="23" t="s">
        <v>253</v>
      </c>
      <c r="B86" s="24" t="s">
        <v>334</v>
      </c>
      <c r="C86" s="23" t="s">
        <v>239</v>
      </c>
      <c r="D86" s="23" t="s">
        <v>126</v>
      </c>
      <c r="E86" s="23">
        <v>7.3629999160766602</v>
      </c>
      <c r="F86" s="23">
        <v>52664.725222696499</v>
      </c>
      <c r="G86" s="23"/>
      <c r="H86" s="23" t="str">
        <f>IF('Paste Sample Names Here'!G88="", "", 'Paste Sample Names Here'!G88)</f>
        <v/>
      </c>
      <c r="I86" s="24" t="str">
        <f>IF('Paste Sample Names Here'!F88="", "", 'Paste Sample Names Here'!F88)</f>
        <v/>
      </c>
      <c r="J86" s="23" t="str">
        <f t="shared" si="3"/>
        <v/>
      </c>
      <c r="K86" s="23" t="str">
        <f>IF(I86="", "", Sheet3!H103)</f>
        <v/>
      </c>
      <c r="L86" s="23" t="str">
        <f ca="1">IF(I86="", "", OFFSET(Data!$C$19, 2*Sheet3!B146, 0))</f>
        <v/>
      </c>
      <c r="M86" s="23" t="str">
        <f ca="1">IF(I86="", "", OFFSET(Data!$E$19, 2*Sheet3!B146, 0))</f>
        <v/>
      </c>
      <c r="N86" s="32"/>
      <c r="O86" s="23" t="str">
        <f>IF('Paste Sample Names Here'!K88="", "", 'Paste Sample Names Here'!K88)</f>
        <v/>
      </c>
      <c r="P86" s="24" t="str">
        <f>IF('Paste Sample Names Here'!J88="", "", 'Paste Sample Names Here'!J88)</f>
        <v/>
      </c>
      <c r="Q86" s="23" t="str">
        <f t="shared" si="4"/>
        <v/>
      </c>
      <c r="R86" s="23" t="str">
        <f>IF(P86="", "", Sheet3!H103)</f>
        <v/>
      </c>
      <c r="S86" s="23" t="str">
        <f ca="1">IF(P86="", "", OFFSET(Data!$C$210, 2*Sheet3!B146, 0))</f>
        <v/>
      </c>
      <c r="T86" s="23" t="str">
        <f ca="1">IF(P86="", "", OFFSET(Data!$E$210, 2*Sheet3!B146, 0))</f>
        <v/>
      </c>
      <c r="U86" s="23"/>
      <c r="V86" s="23" t="str">
        <f>IF('Paste Sample Names Here'!O88="","", 'Paste Sample Names Here'!O88)</f>
        <v/>
      </c>
      <c r="W86" s="24" t="str">
        <f>IF('Paste Sample Names Here'!N88="", "",'Paste Sample Names Here'!N88)</f>
        <v/>
      </c>
      <c r="X86" s="23" t="str">
        <f t="shared" si="5"/>
        <v/>
      </c>
      <c r="Y86" s="23" t="str">
        <f>IF(W86="", "", Sheet3!H103)</f>
        <v/>
      </c>
      <c r="Z86" s="23" t="str">
        <f ca="1">IF(W86="", "", OFFSET(Data!$C$211, 2*Sheet3!B146, 0))</f>
        <v/>
      </c>
      <c r="AA86" s="23" t="str">
        <f ca="1">IF(W86="", "", OFFSET(Data!$E$211, 2*Sheet3!B146, 0))</f>
        <v/>
      </c>
    </row>
    <row r="87" spans="1:27" x14ac:dyDescent="0.2">
      <c r="A87" s="23" t="s">
        <v>306</v>
      </c>
      <c r="B87" s="24" t="s">
        <v>306</v>
      </c>
      <c r="C87" s="23" t="s">
        <v>306</v>
      </c>
      <c r="D87" s="23" t="s">
        <v>306</v>
      </c>
      <c r="E87" s="23" t="s">
        <v>306</v>
      </c>
      <c r="F87" s="23" t="s">
        <v>306</v>
      </c>
      <c r="G87" s="23"/>
      <c r="H87" s="23" t="str">
        <f>IF('Paste Sample Names Here'!G89="", "", 'Paste Sample Names Here'!G89)</f>
        <v/>
      </c>
      <c r="I87" s="24" t="str">
        <f>IF('Paste Sample Names Here'!F89="", "", 'Paste Sample Names Here'!F89)</f>
        <v/>
      </c>
      <c r="J87" s="23" t="str">
        <f t="shared" si="3"/>
        <v/>
      </c>
      <c r="K87" s="23" t="str">
        <f>IF(I87="", "", Sheet3!H104)</f>
        <v/>
      </c>
      <c r="L87" s="23" t="str">
        <f ca="1">IF(I87="", "", OFFSET(Data!$C$19, 2*Sheet3!B147, 0))</f>
        <v/>
      </c>
      <c r="M87" s="23" t="str">
        <f ca="1">IF(I87="", "", OFFSET(Data!$E$19, 2*Sheet3!B147, 0))</f>
        <v/>
      </c>
      <c r="N87" s="32"/>
      <c r="O87" s="23" t="str">
        <f>IF('Paste Sample Names Here'!K89="", "", 'Paste Sample Names Here'!K89)</f>
        <v/>
      </c>
      <c r="P87" s="24" t="str">
        <f>IF('Paste Sample Names Here'!J89="", "", 'Paste Sample Names Here'!J89)</f>
        <v/>
      </c>
      <c r="Q87" s="23" t="str">
        <f t="shared" si="4"/>
        <v/>
      </c>
      <c r="R87" s="23" t="str">
        <f>IF(P87="", "", Sheet3!H104)</f>
        <v/>
      </c>
      <c r="S87" s="23" t="str">
        <f ca="1">IF(P87="", "", OFFSET(Data!$C$210, 2*Sheet3!B147, 0))</f>
        <v/>
      </c>
      <c r="T87" s="23" t="str">
        <f ca="1">IF(P87="", "", OFFSET(Data!$E$210, 2*Sheet3!B147, 0))</f>
        <v/>
      </c>
      <c r="U87" s="23"/>
      <c r="V87" s="23" t="str">
        <f>IF('Paste Sample Names Here'!O89="","", 'Paste Sample Names Here'!O89)</f>
        <v/>
      </c>
      <c r="W87" s="24" t="str">
        <f>IF('Paste Sample Names Here'!N89="", "",'Paste Sample Names Here'!N89)</f>
        <v>NTC</v>
      </c>
      <c r="X87" s="23" t="str">
        <f t="shared" si="5"/>
        <v>Plate_4</v>
      </c>
      <c r="Y87" s="23" t="str">
        <f>IF(W87="", "", Sheet3!H104)</f>
        <v>E11</v>
      </c>
      <c r="Z87" s="23">
        <f ca="1">IF(W87="", "", OFFSET(Data!$C$211, 2*Sheet3!B147, 0))</f>
        <v>26.159000396728516</v>
      </c>
      <c r="AA87" s="23">
        <f ca="1">IF(W87="", "", OFFSET(Data!$E$211, 2*Sheet3!B147, 0))</f>
        <v>3.6908226468090731E-4</v>
      </c>
    </row>
    <row r="88" spans="1:27" x14ac:dyDescent="0.2">
      <c r="A88" s="23" t="s">
        <v>306</v>
      </c>
      <c r="B88" s="24" t="s">
        <v>306</v>
      </c>
      <c r="C88" s="23" t="s">
        <v>306</v>
      </c>
      <c r="D88" s="23" t="s">
        <v>306</v>
      </c>
      <c r="E88" s="23" t="s">
        <v>306</v>
      </c>
      <c r="F88" s="23" t="s">
        <v>306</v>
      </c>
      <c r="G88" s="23"/>
      <c r="H88" s="23" t="str">
        <f>IF('Paste Sample Names Here'!G90="", "", 'Paste Sample Names Here'!G90)</f>
        <v/>
      </c>
      <c r="I88" s="24" t="str">
        <f>IF('Paste Sample Names Here'!F90="", "", 'Paste Sample Names Here'!F90)</f>
        <v/>
      </c>
      <c r="J88" s="23" t="str">
        <f t="shared" si="3"/>
        <v/>
      </c>
      <c r="K88" s="23" t="str">
        <f>IF(I88="", "", Sheet3!H105)</f>
        <v/>
      </c>
      <c r="L88" s="23" t="str">
        <f ca="1">IF(I88="", "", OFFSET(Data!$C$19, 2*Sheet3!B148, 0))</f>
        <v/>
      </c>
      <c r="M88" s="23" t="str">
        <f ca="1">IF(I88="", "", OFFSET(Data!$E$19, 2*Sheet3!B148, 0))</f>
        <v/>
      </c>
      <c r="N88" s="32"/>
      <c r="O88" s="23" t="str">
        <f>IF('Paste Sample Names Here'!K90="", "", 'Paste Sample Names Here'!K90)</f>
        <v/>
      </c>
      <c r="P88" s="24" t="str">
        <f>IF('Paste Sample Names Here'!J90="", "", 'Paste Sample Names Here'!J90)</f>
        <v/>
      </c>
      <c r="Q88" s="23" t="str">
        <f t="shared" si="4"/>
        <v/>
      </c>
      <c r="R88" s="23" t="str">
        <f>IF(P88="", "", Sheet3!H105)</f>
        <v/>
      </c>
      <c r="S88" s="23" t="str">
        <f ca="1">IF(P88="", "", OFFSET(Data!$C$210, 2*Sheet3!B148, 0))</f>
        <v/>
      </c>
      <c r="T88" s="23" t="str">
        <f ca="1">IF(P88="", "", OFFSET(Data!$E$210, 2*Sheet3!B148, 0))</f>
        <v/>
      </c>
      <c r="U88" s="23"/>
      <c r="V88" s="23" t="str">
        <f>IF('Paste Sample Names Here'!O90="","", 'Paste Sample Names Here'!O90)</f>
        <v/>
      </c>
      <c r="W88" s="24" t="str">
        <f>IF('Paste Sample Names Here'!N90="", "",'Paste Sample Names Here'!N90)</f>
        <v>NTC</v>
      </c>
      <c r="X88" s="23" t="str">
        <f t="shared" si="5"/>
        <v>Plate_4</v>
      </c>
      <c r="Y88" s="23" t="str">
        <f>IF(W88="", "", Sheet3!H105)</f>
        <v>F11</v>
      </c>
      <c r="Z88" s="23">
        <f ca="1">IF(W88="", "", OFFSET(Data!$C$211, 2*Sheet3!B148, 0))</f>
        <v>26.072999954223633</v>
      </c>
      <c r="AA88" s="23">
        <f ca="1">IF(W88="", "", OFFSET(Data!$E$211, 2*Sheet3!B148, 0))</f>
        <v>3.8967894274647368E-4</v>
      </c>
    </row>
    <row r="89" spans="1:27" x14ac:dyDescent="0.2">
      <c r="A89" s="23" t="s">
        <v>306</v>
      </c>
      <c r="B89" s="24" t="s">
        <v>306</v>
      </c>
      <c r="C89" s="23" t="s">
        <v>306</v>
      </c>
      <c r="D89" s="23" t="s">
        <v>306</v>
      </c>
      <c r="E89" s="23" t="s">
        <v>306</v>
      </c>
      <c r="F89" s="23" t="s">
        <v>306</v>
      </c>
      <c r="G89" s="23"/>
      <c r="H89" s="23" t="str">
        <f>IF('Paste Sample Names Here'!G91="", "", 'Paste Sample Names Here'!G91)</f>
        <v/>
      </c>
      <c r="I89" s="24" t="str">
        <f>IF('Paste Sample Names Here'!F91="", "", 'Paste Sample Names Here'!F91)</f>
        <v/>
      </c>
      <c r="J89" s="23" t="str">
        <f t="shared" si="3"/>
        <v/>
      </c>
      <c r="K89" s="23" t="str">
        <f>IF(I89="", "", Sheet3!H106)</f>
        <v/>
      </c>
      <c r="L89" s="23" t="str">
        <f ca="1">IF(I89="", "", OFFSET(Data!$C$19, 2*Sheet3!B149, 0))</f>
        <v/>
      </c>
      <c r="M89" s="23" t="str">
        <f ca="1">IF(I89="", "", OFFSET(Data!$E$19, 2*Sheet3!B149, 0))</f>
        <v/>
      </c>
      <c r="N89" s="32"/>
      <c r="O89" s="23" t="str">
        <f>IF('Paste Sample Names Here'!K91="", "", 'Paste Sample Names Here'!K91)</f>
        <v/>
      </c>
      <c r="P89" s="24" t="str">
        <f>IF('Paste Sample Names Here'!J91="", "", 'Paste Sample Names Here'!J91)</f>
        <v/>
      </c>
      <c r="Q89" s="23" t="str">
        <f t="shared" si="4"/>
        <v/>
      </c>
      <c r="R89" s="23" t="str">
        <f>IF(P89="", "", Sheet3!H106)</f>
        <v/>
      </c>
      <c r="S89" s="23" t="str">
        <f ca="1">IF(P89="", "", OFFSET(Data!$C$210, 2*Sheet3!B149, 0))</f>
        <v/>
      </c>
      <c r="T89" s="23" t="str">
        <f ca="1">IF(P89="", "", OFFSET(Data!$E$210, 2*Sheet3!B149, 0))</f>
        <v/>
      </c>
      <c r="U89" s="23"/>
      <c r="V89" s="23" t="str">
        <f>IF('Paste Sample Names Here'!O91="","", 'Paste Sample Names Here'!O91)</f>
        <v/>
      </c>
      <c r="W89" s="24" t="str">
        <f>IF('Paste Sample Names Here'!N91="", "",'Paste Sample Names Here'!N91)</f>
        <v>NTC</v>
      </c>
      <c r="X89" s="23" t="str">
        <f t="shared" si="5"/>
        <v>Plate_4</v>
      </c>
      <c r="Y89" s="23" t="str">
        <f>IF(W89="", "", Sheet3!H106)</f>
        <v>G11</v>
      </c>
      <c r="Z89" s="23">
        <f ca="1">IF(W89="", "", OFFSET(Data!$C$211, 2*Sheet3!B149, 0))</f>
        <v>26.205999374389648</v>
      </c>
      <c r="AA89" s="23">
        <f ca="1">IF(W89="", "", OFFSET(Data!$E$211, 2*Sheet3!B149, 0))</f>
        <v>3.582900301379261E-4</v>
      </c>
    </row>
    <row r="90" spans="1:27" x14ac:dyDescent="0.2">
      <c r="A90" s="23" t="s">
        <v>306</v>
      </c>
      <c r="B90" s="24" t="s">
        <v>306</v>
      </c>
      <c r="C90" s="23" t="s">
        <v>306</v>
      </c>
      <c r="D90" s="23" t="s">
        <v>306</v>
      </c>
      <c r="E90" s="23" t="s">
        <v>306</v>
      </c>
      <c r="F90" s="23" t="s">
        <v>306</v>
      </c>
      <c r="G90" s="23"/>
      <c r="H90" s="23" t="str">
        <f>IF('Paste Sample Names Here'!G92="", "", 'Paste Sample Names Here'!G92)</f>
        <v/>
      </c>
      <c r="I90" s="24" t="str">
        <f>IF('Paste Sample Names Here'!F92="", "", 'Paste Sample Names Here'!F92)</f>
        <v/>
      </c>
      <c r="J90" s="23" t="str">
        <f t="shared" si="3"/>
        <v/>
      </c>
      <c r="K90" s="23" t="str">
        <f>IF(I90="", "", Sheet3!H107)</f>
        <v/>
      </c>
      <c r="L90" s="23" t="str">
        <f ca="1">IF(I90="", "", OFFSET(Data!$C$19, 2*Sheet3!B150, 0))</f>
        <v/>
      </c>
      <c r="M90" s="23" t="str">
        <f ca="1">IF(I90="", "", OFFSET(Data!$E$19, 2*Sheet3!B150, 0))</f>
        <v/>
      </c>
      <c r="N90" s="32"/>
      <c r="O90" s="23" t="str">
        <f>IF('Paste Sample Names Here'!K92="", "", 'Paste Sample Names Here'!K92)</f>
        <v/>
      </c>
      <c r="P90" s="24" t="str">
        <f>IF('Paste Sample Names Here'!J92="", "", 'Paste Sample Names Here'!J92)</f>
        <v/>
      </c>
      <c r="Q90" s="23" t="str">
        <f t="shared" si="4"/>
        <v/>
      </c>
      <c r="R90" s="23" t="str">
        <f>IF(P90="", "", Sheet3!H107)</f>
        <v/>
      </c>
      <c r="S90" s="23" t="str">
        <f ca="1">IF(P90="", "", OFFSET(Data!$C$210, 2*Sheet3!B150, 0))</f>
        <v/>
      </c>
      <c r="T90" s="23" t="str">
        <f ca="1">IF(P90="", "", OFFSET(Data!$E$210, 2*Sheet3!B150, 0))</f>
        <v/>
      </c>
      <c r="U90" s="23"/>
      <c r="V90" s="23" t="str">
        <f>IF('Paste Sample Names Here'!O92="","", 'Paste Sample Names Here'!O92)</f>
        <v/>
      </c>
      <c r="W90" s="24" t="str">
        <f>IF('Paste Sample Names Here'!N92="", "",'Paste Sample Names Here'!N92)</f>
        <v>NTC</v>
      </c>
      <c r="X90" s="23" t="str">
        <f t="shared" si="5"/>
        <v>Plate_4</v>
      </c>
      <c r="Y90" s="23" t="str">
        <f>IF(W90="", "", Sheet3!H107)</f>
        <v>H11</v>
      </c>
      <c r="Z90" s="23">
        <f ca="1">IF(W90="", "", OFFSET(Data!$C$211, 2*Sheet3!B150, 0))</f>
        <v>26.450000762939453</v>
      </c>
      <c r="AA90" s="23">
        <f ca="1">IF(W90="", "", OFFSET(Data!$E$211, 2*Sheet3!B150, 0))</f>
        <v>3.0713026860241171E-4</v>
      </c>
    </row>
    <row r="91" spans="1:27" x14ac:dyDescent="0.2">
      <c r="A91" s="23" t="s">
        <v>253</v>
      </c>
      <c r="B91" s="24" t="s">
        <v>335</v>
      </c>
      <c r="C91" s="23" t="s">
        <v>239</v>
      </c>
      <c r="D91" s="23" t="s">
        <v>131</v>
      </c>
      <c r="E91" s="23">
        <v>7.5380001068115234</v>
      </c>
      <c r="F91" s="23">
        <v>47155.223204346934</v>
      </c>
      <c r="G91" s="23"/>
      <c r="H91" s="23" t="str">
        <f>IF('Paste Sample Names Here'!G93="", "", 'Paste Sample Names Here'!G93)</f>
        <v/>
      </c>
      <c r="I91" s="24" t="str">
        <f>IF('Paste Sample Names Here'!F93="", "", 'Paste Sample Names Here'!F93)</f>
        <v/>
      </c>
      <c r="J91" s="23" t="str">
        <f t="shared" si="3"/>
        <v/>
      </c>
      <c r="K91" s="23" t="str">
        <f>IF(I91="", "", Sheet3!H108)</f>
        <v/>
      </c>
      <c r="L91" s="23" t="str">
        <f ca="1">IF(I91="", "", OFFSET(Data!$C$19, 2*Sheet3!B151, 0))</f>
        <v/>
      </c>
      <c r="M91" s="23" t="str">
        <f ca="1">IF(I91="", "", OFFSET(Data!$E$19, 2*Sheet3!B151, 0))</f>
        <v/>
      </c>
      <c r="N91" s="32"/>
      <c r="O91" s="23" t="str">
        <f>IF('Paste Sample Names Here'!K93="", "", 'Paste Sample Names Here'!K93)</f>
        <v/>
      </c>
      <c r="P91" s="24" t="str">
        <f>IF('Paste Sample Names Here'!J93="", "", 'Paste Sample Names Here'!J93)</f>
        <v/>
      </c>
      <c r="Q91" s="23" t="str">
        <f t="shared" si="4"/>
        <v/>
      </c>
      <c r="R91" s="23" t="str">
        <f>IF(P91="", "", Sheet3!H108)</f>
        <v/>
      </c>
      <c r="S91" s="23" t="str">
        <f ca="1">IF(P91="", "", OFFSET(Data!$C$210, 2*Sheet3!B151, 0))</f>
        <v/>
      </c>
      <c r="T91" s="23" t="str">
        <f ca="1">IF(P91="", "", OFFSET(Data!$E$210, 2*Sheet3!B151, 0))</f>
        <v/>
      </c>
      <c r="U91" s="23"/>
      <c r="V91" s="23" t="str">
        <f>IF('Paste Sample Names Here'!O93="","", 'Paste Sample Names Here'!O93)</f>
        <v/>
      </c>
      <c r="W91" s="24" t="str">
        <f>IF('Paste Sample Names Here'!N93="", "",'Paste Sample Names Here'!N93)</f>
        <v>Standard 1</v>
      </c>
      <c r="X91" s="23" t="str">
        <f t="shared" si="5"/>
        <v>Plate_4</v>
      </c>
      <c r="Y91" s="23" t="str">
        <f>IF(W91="", "", Sheet3!H108)</f>
        <v>A12</v>
      </c>
      <c r="Z91" s="23">
        <f ca="1">IF(W91="", "", OFFSET(Data!$C$211, 2*Sheet3!B151, 0))</f>
        <v>8.8719997406005859</v>
      </c>
      <c r="AA91" s="23">
        <f ca="1">IF(W91="", "", OFFSET(Data!$E$211, 2*Sheet3!B151, 0))</f>
        <v>20.309968725497477</v>
      </c>
    </row>
    <row r="92" spans="1:27" x14ac:dyDescent="0.2">
      <c r="A92" s="23" t="s">
        <v>253</v>
      </c>
      <c r="B92" s="24" t="s">
        <v>336</v>
      </c>
      <c r="C92" s="23" t="s">
        <v>239</v>
      </c>
      <c r="D92" s="23" t="s">
        <v>132</v>
      </c>
      <c r="E92" s="23">
        <v>7.125</v>
      </c>
      <c r="F92" s="23">
        <v>61204.894342630556</v>
      </c>
      <c r="G92" s="23"/>
      <c r="H92" s="23" t="str">
        <f>IF('Paste Sample Names Here'!G94="", "", 'Paste Sample Names Here'!G94)</f>
        <v/>
      </c>
      <c r="I92" s="24" t="str">
        <f>IF('Paste Sample Names Here'!F94="", "", 'Paste Sample Names Here'!F94)</f>
        <v/>
      </c>
      <c r="J92" s="23" t="str">
        <f t="shared" si="3"/>
        <v/>
      </c>
      <c r="K92" s="23" t="str">
        <f>IF(I92="", "", Sheet3!H109)</f>
        <v/>
      </c>
      <c r="L92" s="23" t="str">
        <f ca="1">IF(I92="", "", OFFSET(Data!$C$19, 2*Sheet3!B152, 0))</f>
        <v/>
      </c>
      <c r="M92" s="23" t="str">
        <f ca="1">IF(I92="", "", OFFSET(Data!$E$19, 2*Sheet3!B152, 0))</f>
        <v/>
      </c>
      <c r="N92" s="32"/>
      <c r="O92" s="23" t="str">
        <f>IF('Paste Sample Names Here'!K94="", "", 'Paste Sample Names Here'!K94)</f>
        <v/>
      </c>
      <c r="P92" s="24" t="str">
        <f>IF('Paste Sample Names Here'!J94="", "", 'Paste Sample Names Here'!J94)</f>
        <v/>
      </c>
      <c r="Q92" s="23" t="str">
        <f t="shared" si="4"/>
        <v/>
      </c>
      <c r="R92" s="23" t="str">
        <f>IF(P92="", "", Sheet3!H109)</f>
        <v/>
      </c>
      <c r="S92" s="23" t="str">
        <f ca="1">IF(P92="", "", OFFSET(Data!$C$210, 2*Sheet3!B152, 0))</f>
        <v/>
      </c>
      <c r="T92" s="23" t="str">
        <f ca="1">IF(P92="", "", OFFSET(Data!$E$210, 2*Sheet3!B152, 0))</f>
        <v/>
      </c>
      <c r="U92" s="23"/>
      <c r="V92" s="23" t="str">
        <f>IF('Paste Sample Names Here'!O94="","", 'Paste Sample Names Here'!O94)</f>
        <v/>
      </c>
      <c r="W92" s="24" t="str">
        <f>IF('Paste Sample Names Here'!N94="", "",'Paste Sample Names Here'!N94)</f>
        <v>Standard 2</v>
      </c>
      <c r="X92" s="23" t="str">
        <f t="shared" si="5"/>
        <v>Plate_4</v>
      </c>
      <c r="Y92" s="23" t="str">
        <f>IF(W92="", "", Sheet3!H109)</f>
        <v>B12</v>
      </c>
      <c r="Z92" s="23">
        <f ca="1">IF(W92="", "", OFFSET(Data!$C$211, 2*Sheet3!B152, 0))</f>
        <v>12.718999862670898</v>
      </c>
      <c r="AA92" s="23">
        <f ca="1">IF(W92="", "", OFFSET(Data!$E$211, 2*Sheet3!B152, 0))</f>
        <v>17.895863855015886</v>
      </c>
    </row>
    <row r="93" spans="1:27" x14ac:dyDescent="0.2">
      <c r="A93" s="23" t="s">
        <v>253</v>
      </c>
      <c r="B93" s="24" t="s">
        <v>337</v>
      </c>
      <c r="C93" s="23" t="s">
        <v>239</v>
      </c>
      <c r="D93" s="23" t="s">
        <v>133</v>
      </c>
      <c r="E93" s="23">
        <v>7.9130001068115234</v>
      </c>
      <c r="F93" s="23">
        <v>37212.955594013685</v>
      </c>
      <c r="G93" s="23"/>
      <c r="H93" s="23" t="str">
        <f>IF('Paste Sample Names Here'!G95="", "", 'Paste Sample Names Here'!G95)</f>
        <v/>
      </c>
      <c r="I93" s="24" t="str">
        <f>IF('Paste Sample Names Here'!F95="", "", 'Paste Sample Names Here'!F95)</f>
        <v/>
      </c>
      <c r="J93" s="23" t="str">
        <f t="shared" si="3"/>
        <v/>
      </c>
      <c r="K93" s="23" t="str">
        <f>IF(I93="", "", Sheet3!H110)</f>
        <v/>
      </c>
      <c r="L93" s="23" t="str">
        <f ca="1">IF(I93="", "", OFFSET(Data!$C$19, 2*Sheet3!B153, 0))</f>
        <v/>
      </c>
      <c r="M93" s="23" t="str">
        <f ca="1">IF(I93="", "", OFFSET(Data!$E$19, 2*Sheet3!B153, 0))</f>
        <v/>
      </c>
      <c r="N93" s="32"/>
      <c r="O93" s="23" t="str">
        <f>IF('Paste Sample Names Here'!K95="", "", 'Paste Sample Names Here'!K95)</f>
        <v/>
      </c>
      <c r="P93" s="24" t="str">
        <f>IF('Paste Sample Names Here'!J95="", "", 'Paste Sample Names Here'!J95)</f>
        <v/>
      </c>
      <c r="Q93" s="23" t="str">
        <f t="shared" si="4"/>
        <v/>
      </c>
      <c r="R93" s="23" t="str">
        <f>IF(P93="", "", Sheet3!H110)</f>
        <v/>
      </c>
      <c r="S93" s="23" t="str">
        <f ca="1">IF(P93="", "", OFFSET(Data!$C$210, 2*Sheet3!B153, 0))</f>
        <v/>
      </c>
      <c r="T93" s="23" t="str">
        <f ca="1">IF(P93="", "", OFFSET(Data!$E$210, 2*Sheet3!B153, 0))</f>
        <v/>
      </c>
      <c r="U93" s="23"/>
      <c r="V93" s="23" t="str">
        <f>IF('Paste Sample Names Here'!O95="","", 'Paste Sample Names Here'!O95)</f>
        <v/>
      </c>
      <c r="W93" s="24" t="str">
        <f>IF('Paste Sample Names Here'!N95="", "",'Paste Sample Names Here'!N95)</f>
        <v>Standard 3</v>
      </c>
      <c r="X93" s="23" t="str">
        <f t="shared" si="5"/>
        <v>Plate_4</v>
      </c>
      <c r="Y93" s="23" t="str">
        <f>IF(W93="", "", Sheet3!H110)</f>
        <v>C12</v>
      </c>
      <c r="Z93" s="23">
        <f ca="1">IF(W93="", "", OFFSET(Data!$C$211, 2*Sheet3!B153, 0))</f>
        <v>16.128999710083008</v>
      </c>
      <c r="AA93" s="23">
        <f ca="1">IF(W93="", "", OFFSET(Data!$E$211, 2*Sheet3!B153, 0))</f>
        <v>20.779445505101346</v>
      </c>
    </row>
    <row r="94" spans="1:27" x14ac:dyDescent="0.2">
      <c r="A94" s="23" t="str">
        <f>IF('Paste Sample Names Here'!C96="", "", 'Paste Sample Names Here'!C96)</f>
        <v/>
      </c>
      <c r="B94" s="24" t="str">
        <f>IF('Paste Sample Names Here'!B96="", "", 'Paste Sample Names Here'!B96)</f>
        <v/>
      </c>
      <c r="C94" s="23" t="str">
        <f t="shared" ref="C94:C98" si="6">IF(B94="", "", $A$1)</f>
        <v/>
      </c>
      <c r="D94" s="23" t="str">
        <f>IF(B94="", "", Sheet3!H111)</f>
        <v/>
      </c>
      <c r="E94" s="23" t="str">
        <f ca="1">IF(B94="","",OFFSET(Data!$C$18,2*Sheet3!B154,0))</f>
        <v/>
      </c>
      <c r="F94" s="23" t="str">
        <f ca="1">IF(B94="", "", OFFSET(Data!$E$18, 2*Sheet3!B154, 0))</f>
        <v/>
      </c>
      <c r="G94" s="23"/>
      <c r="H94" s="23" t="str">
        <f>IF('Paste Sample Names Here'!G96="", "", 'Paste Sample Names Here'!G96)</f>
        <v/>
      </c>
      <c r="I94" s="24" t="str">
        <f>IF('Paste Sample Names Here'!F96="", "", 'Paste Sample Names Here'!F96)</f>
        <v/>
      </c>
      <c r="J94" s="23" t="str">
        <f t="shared" si="3"/>
        <v/>
      </c>
      <c r="K94" s="23" t="str">
        <f>IF(I94="", "", Sheet3!H111)</f>
        <v/>
      </c>
      <c r="L94" s="23" t="str">
        <f ca="1">IF(I94="", "", OFFSET(Data!$C$19, 2*Sheet3!B154, 0))</f>
        <v/>
      </c>
      <c r="M94" s="23" t="str">
        <f ca="1">IF(I94="", "", OFFSET(Data!$E$19, 2*Sheet3!B154, 0))</f>
        <v/>
      </c>
      <c r="N94" s="32"/>
      <c r="O94" s="23" t="str">
        <f>IF('Paste Sample Names Here'!K96="", "", 'Paste Sample Names Here'!K96)</f>
        <v/>
      </c>
      <c r="P94" s="24" t="str">
        <f>IF('Paste Sample Names Here'!J96="", "", 'Paste Sample Names Here'!J96)</f>
        <v/>
      </c>
      <c r="Q94" s="23" t="str">
        <f t="shared" si="4"/>
        <v/>
      </c>
      <c r="R94" s="23" t="str">
        <f>IF(P94="", "", Sheet3!H111)</f>
        <v/>
      </c>
      <c r="S94" s="23" t="str">
        <f ca="1">IF(P94="", "", OFFSET(Data!$C$210, 2*Sheet3!B154, 0))</f>
        <v/>
      </c>
      <c r="T94" s="23" t="str">
        <f ca="1">IF(P94="", "", OFFSET(Data!$E$210, 2*Sheet3!B154, 0))</f>
        <v/>
      </c>
      <c r="U94" s="23"/>
      <c r="V94" s="23" t="str">
        <f>IF('Paste Sample Names Here'!O96="","", 'Paste Sample Names Here'!O96)</f>
        <v/>
      </c>
      <c r="W94" s="24" t="str">
        <f>IF('Paste Sample Names Here'!N96="", "",'Paste Sample Names Here'!N96)</f>
        <v>Standard 4</v>
      </c>
      <c r="X94" s="23" t="str">
        <f t="shared" si="5"/>
        <v>Plate_4</v>
      </c>
      <c r="Y94" s="23" t="str">
        <f>IF(W94="", "", Sheet3!H111)</f>
        <v>D12</v>
      </c>
      <c r="Z94" s="23">
        <f ca="1">IF(W94="", "", OFFSET(Data!$C$211, 2*Sheet3!B154, 0))</f>
        <v>19.743999481201172</v>
      </c>
      <c r="AA94" s="23">
        <f ca="1">IF(W94="", "", OFFSET(Data!$E$211, 2*Sheet3!B154, 0))</f>
        <v>21.198173665868588</v>
      </c>
    </row>
    <row r="95" spans="1:27" x14ac:dyDescent="0.2">
      <c r="A95" s="23" t="str">
        <f>IF('Paste Sample Names Here'!C97="", "", 'Paste Sample Names Here'!C97)</f>
        <v/>
      </c>
      <c r="B95" s="24" t="str">
        <f>IF('Paste Sample Names Here'!B97="", "", 'Paste Sample Names Here'!B97)</f>
        <v/>
      </c>
      <c r="C95" s="23" t="str">
        <f t="shared" si="6"/>
        <v/>
      </c>
      <c r="D95" s="23" t="str">
        <f>IF(B95="", "", Sheet3!H112)</f>
        <v/>
      </c>
      <c r="E95" s="23" t="str">
        <f ca="1">IF(B95="","",OFFSET(Data!$C$18,2*Sheet3!B155,0))</f>
        <v/>
      </c>
      <c r="F95" s="23" t="str">
        <f ca="1">IF(B95="", "", OFFSET(Data!$E$18, 2*Sheet3!B155, 0))</f>
        <v/>
      </c>
      <c r="G95" s="23"/>
      <c r="H95" s="23" t="str">
        <f>IF('Paste Sample Names Here'!G97="", "", 'Paste Sample Names Here'!G97)</f>
        <v/>
      </c>
      <c r="I95" s="24" t="str">
        <f>IF('Paste Sample Names Here'!F97="", "", 'Paste Sample Names Here'!F97)</f>
        <v/>
      </c>
      <c r="J95" s="23" t="str">
        <f t="shared" si="3"/>
        <v/>
      </c>
      <c r="K95" s="23" t="str">
        <f>IF(I95="", "", Sheet3!H112)</f>
        <v/>
      </c>
      <c r="L95" s="23" t="str">
        <f ca="1">IF(I95="", "", OFFSET(Data!$C$19, 2*Sheet3!B155, 0))</f>
        <v/>
      </c>
      <c r="M95" s="23" t="str">
        <f ca="1">IF(I95="", "", OFFSET(Data!$E$19, 2*Sheet3!B155, 0))</f>
        <v/>
      </c>
      <c r="N95" s="32"/>
      <c r="O95" s="23" t="str">
        <f>IF('Paste Sample Names Here'!K97="", "", 'Paste Sample Names Here'!K97)</f>
        <v/>
      </c>
      <c r="P95" s="24" t="str">
        <f>IF('Paste Sample Names Here'!J97="", "", 'Paste Sample Names Here'!J97)</f>
        <v/>
      </c>
      <c r="Q95" s="23" t="str">
        <f t="shared" si="4"/>
        <v/>
      </c>
      <c r="R95" s="23" t="str">
        <f>IF(P95="", "", Sheet3!H112)</f>
        <v/>
      </c>
      <c r="S95" s="23" t="str">
        <f ca="1">IF(P95="", "", OFFSET(Data!$C$210, 2*Sheet3!B155, 0))</f>
        <v/>
      </c>
      <c r="T95" s="23" t="str">
        <f ca="1">IF(P95="", "", OFFSET(Data!$E$210, 2*Sheet3!B155, 0))</f>
        <v/>
      </c>
      <c r="U95" s="23"/>
      <c r="V95" s="23" t="str">
        <f>IF('Paste Sample Names Here'!O97="","", 'Paste Sample Names Here'!O97)</f>
        <v/>
      </c>
      <c r="W95" s="24" t="str">
        <f>IF('Paste Sample Names Here'!N97="", "",'Paste Sample Names Here'!N97)</f>
        <v>Standard 1</v>
      </c>
      <c r="X95" s="23" t="str">
        <f t="shared" si="5"/>
        <v>Plate_4</v>
      </c>
      <c r="Y95" s="23" t="str">
        <f>IF(W95="", "", Sheet3!H112)</f>
        <v>E12</v>
      </c>
      <c r="Z95" s="23">
        <f ca="1">IF(W95="", "", OFFSET(Data!$C$211, 2*Sheet3!B155, 0))</f>
        <v>8.7779998779296875</v>
      </c>
      <c r="AA95" s="23">
        <f ca="1">IF(W95="", "", OFFSET(Data!$E$211, 2*Sheet3!B155, 0))</f>
        <v>21.551955622703233</v>
      </c>
    </row>
    <row r="96" spans="1:27" x14ac:dyDescent="0.2">
      <c r="A96" s="23" t="str">
        <f>IF('Paste Sample Names Here'!C98="", "", 'Paste Sample Names Here'!C98)</f>
        <v/>
      </c>
      <c r="B96" s="24" t="str">
        <f>IF('Paste Sample Names Here'!B98="", "", 'Paste Sample Names Here'!B98)</f>
        <v/>
      </c>
      <c r="C96" s="23" t="str">
        <f t="shared" si="6"/>
        <v/>
      </c>
      <c r="D96" s="23" t="str">
        <f>IF(B96="", "", Sheet3!H113)</f>
        <v/>
      </c>
      <c r="E96" s="23" t="str">
        <f ca="1">IF(B96="","",OFFSET(Data!$C$18,2*Sheet3!B156,0))</f>
        <v/>
      </c>
      <c r="F96" s="23" t="str">
        <f ca="1">IF(B96="", "", OFFSET(Data!$E$18, 2*Sheet3!B156, 0))</f>
        <v/>
      </c>
      <c r="G96" s="23"/>
      <c r="H96" s="23" t="str">
        <f>IF('Paste Sample Names Here'!G98="", "", 'Paste Sample Names Here'!G98)</f>
        <v/>
      </c>
      <c r="I96" s="24" t="str">
        <f>IF('Paste Sample Names Here'!F98="", "", 'Paste Sample Names Here'!F98)</f>
        <v/>
      </c>
      <c r="J96" s="23" t="str">
        <f t="shared" si="3"/>
        <v/>
      </c>
      <c r="K96" s="23" t="str">
        <f>IF(I96="", "", Sheet3!H113)</f>
        <v/>
      </c>
      <c r="L96" s="23" t="str">
        <f ca="1">IF(I96="", "", OFFSET(Data!$C$19, 2*Sheet3!B156, 0))</f>
        <v/>
      </c>
      <c r="M96" s="23" t="str">
        <f ca="1">IF(I96="", "", OFFSET(Data!$E$19, 2*Sheet3!B156, 0))</f>
        <v/>
      </c>
      <c r="N96" s="32"/>
      <c r="O96" s="23" t="str">
        <f>IF('Paste Sample Names Here'!K98="", "", 'Paste Sample Names Here'!K98)</f>
        <v/>
      </c>
      <c r="P96" s="24" t="str">
        <f>IF('Paste Sample Names Here'!J98="", "", 'Paste Sample Names Here'!J98)</f>
        <v/>
      </c>
      <c r="Q96" s="23" t="str">
        <f t="shared" si="4"/>
        <v/>
      </c>
      <c r="R96" s="23" t="str">
        <f>IF(P96="", "", Sheet3!H113)</f>
        <v/>
      </c>
      <c r="S96" s="23" t="str">
        <f ca="1">IF(P96="", "", OFFSET(Data!$C$210, 2*Sheet3!B156, 0))</f>
        <v/>
      </c>
      <c r="T96" s="23" t="str">
        <f ca="1">IF(P96="", "", OFFSET(Data!$E$210, 2*Sheet3!B156, 0))</f>
        <v/>
      </c>
      <c r="U96" s="23"/>
      <c r="V96" s="23" t="str">
        <f>IF('Paste Sample Names Here'!O98="","", 'Paste Sample Names Here'!O98)</f>
        <v/>
      </c>
      <c r="W96" s="24" t="str">
        <f>IF('Paste Sample Names Here'!N98="", "",'Paste Sample Names Here'!N98)</f>
        <v>Standard 2</v>
      </c>
      <c r="X96" s="23" t="str">
        <f t="shared" si="5"/>
        <v>Plate_4</v>
      </c>
      <c r="Y96" s="23" t="str">
        <f>IF(W96="", "", Sheet3!H113)</f>
        <v>F12</v>
      </c>
      <c r="Z96" s="23">
        <f ca="1">IF(W96="", "", OFFSET(Data!$C$211, 2*Sheet3!B156, 0))</f>
        <v>12.642999649047852</v>
      </c>
      <c r="AA96" s="23">
        <f ca="1">IF(W96="", "", OFFSET(Data!$E$211, 2*Sheet3!B156, 0))</f>
        <v>18.775611144043729</v>
      </c>
    </row>
    <row r="97" spans="1:27" x14ac:dyDescent="0.2">
      <c r="A97" s="23" t="str">
        <f>IF('Paste Sample Names Here'!C99="", "", 'Paste Sample Names Here'!C99)</f>
        <v/>
      </c>
      <c r="B97" s="24" t="str">
        <f>IF('Paste Sample Names Here'!B99="", "", 'Paste Sample Names Here'!B99)</f>
        <v/>
      </c>
      <c r="C97" s="23" t="str">
        <f t="shared" si="6"/>
        <v/>
      </c>
      <c r="D97" s="23" t="str">
        <f>IF(B97="", "", Sheet3!H114)</f>
        <v/>
      </c>
      <c r="E97" s="23" t="str">
        <f ca="1">IF(B97="","",OFFSET(Data!$C$18,2*Sheet3!B157,0))</f>
        <v/>
      </c>
      <c r="F97" s="23" t="str">
        <f ca="1">IF(B97="", "", OFFSET(Data!$E$18, 2*Sheet3!B157, 0))</f>
        <v/>
      </c>
      <c r="G97" s="23"/>
      <c r="H97" s="23" t="str">
        <f>IF('Paste Sample Names Here'!G99="", "", 'Paste Sample Names Here'!G99)</f>
        <v/>
      </c>
      <c r="I97" s="24" t="str">
        <f>IF('Paste Sample Names Here'!F99="", "", 'Paste Sample Names Here'!F99)</f>
        <v/>
      </c>
      <c r="J97" s="23" t="str">
        <f t="shared" si="3"/>
        <v/>
      </c>
      <c r="K97" s="23" t="str">
        <f>IF(I97="", "", Sheet3!H114)</f>
        <v/>
      </c>
      <c r="L97" s="23" t="str">
        <f ca="1">IF(I97="", "", OFFSET(Data!$C$19, 2*Sheet3!B157, 0))</f>
        <v/>
      </c>
      <c r="M97" s="23" t="str">
        <f ca="1">IF(I97="", "", OFFSET(Data!$E$19, 2*Sheet3!B157, 0))</f>
        <v/>
      </c>
      <c r="N97" s="32"/>
      <c r="O97" s="23" t="str">
        <f>IF('Paste Sample Names Here'!K99="", "", 'Paste Sample Names Here'!K99)</f>
        <v/>
      </c>
      <c r="P97" s="24" t="str">
        <f>IF('Paste Sample Names Here'!J99="", "", 'Paste Sample Names Here'!J99)</f>
        <v/>
      </c>
      <c r="Q97" s="23" t="str">
        <f t="shared" si="4"/>
        <v/>
      </c>
      <c r="R97" s="23" t="str">
        <f>IF(P97="", "", Sheet3!H114)</f>
        <v/>
      </c>
      <c r="S97" s="23" t="str">
        <f ca="1">IF(P97="", "", OFFSET(Data!$C$210, 2*Sheet3!B157, 0))</f>
        <v/>
      </c>
      <c r="T97" s="23" t="str">
        <f ca="1">IF(P97="", "", OFFSET(Data!$E$210, 2*Sheet3!B157, 0))</f>
        <v/>
      </c>
      <c r="U97" s="23"/>
      <c r="V97" s="23" t="str">
        <f>IF('Paste Sample Names Here'!O99="","", 'Paste Sample Names Here'!O99)</f>
        <v/>
      </c>
      <c r="W97" s="24" t="str">
        <f>IF('Paste Sample Names Here'!N99="", "",'Paste Sample Names Here'!N99)</f>
        <v>Standard 3</v>
      </c>
      <c r="X97" s="23" t="str">
        <f t="shared" si="5"/>
        <v>Plate_4</v>
      </c>
      <c r="Y97" s="23" t="str">
        <f>IF(W97="", "", Sheet3!H114)</f>
        <v>G12</v>
      </c>
      <c r="Z97" s="23">
        <f ca="1">IF(W97="", "", OFFSET(Data!$C$211, 2*Sheet3!B157, 0))</f>
        <v>16.141000747680664</v>
      </c>
      <c r="AA97" s="23">
        <f ca="1">IF(W97="", "", OFFSET(Data!$E$211, 2*Sheet3!B157, 0))</f>
        <v>20.62257678460201</v>
      </c>
    </row>
    <row r="98" spans="1:27" x14ac:dyDescent="0.2">
      <c r="A98" s="23" t="str">
        <f>IF('Paste Sample Names Here'!C100="", "", 'Paste Sample Names Here'!C100)</f>
        <v/>
      </c>
      <c r="B98" s="24" t="str">
        <f>IF('Paste Sample Names Here'!B100="", "", 'Paste Sample Names Here'!B100)</f>
        <v/>
      </c>
      <c r="C98" s="23" t="str">
        <f t="shared" si="6"/>
        <v/>
      </c>
      <c r="D98" s="23" t="str">
        <f>IF(B98="", "", Sheet3!H115)</f>
        <v/>
      </c>
      <c r="E98" s="23" t="str">
        <f ca="1">IF(B98="","",OFFSET(Data!$C$18,2*Sheet3!B158,0))</f>
        <v/>
      </c>
      <c r="F98" s="23" t="str">
        <f ca="1">IF(B98="", "", OFFSET(Data!$E$18, 2*Sheet3!B158, 0))</f>
        <v/>
      </c>
      <c r="G98" s="23"/>
      <c r="H98" s="23" t="str">
        <f>IF('Paste Sample Names Here'!G100="", "", 'Paste Sample Names Here'!G100)</f>
        <v/>
      </c>
      <c r="I98" s="24" t="str">
        <f>IF('Paste Sample Names Here'!F100="", "", 'Paste Sample Names Here'!F100)</f>
        <v/>
      </c>
      <c r="J98" s="23" t="str">
        <f t="shared" si="3"/>
        <v/>
      </c>
      <c r="K98" s="23" t="str">
        <f>IF(I98="", "", Sheet3!H115)</f>
        <v/>
      </c>
      <c r="L98" s="23" t="str">
        <f ca="1">IF(I98="", "", OFFSET(Data!$C$19, 2*Sheet3!B158, 0))</f>
        <v/>
      </c>
      <c r="M98" s="23" t="str">
        <f ca="1">IF(I98="", "", OFFSET(Data!$E$19, 2*Sheet3!B158, 0))</f>
        <v/>
      </c>
      <c r="N98" s="32"/>
      <c r="O98" s="23" t="str">
        <f>IF('Paste Sample Names Here'!K100="", "", 'Paste Sample Names Here'!K100)</f>
        <v/>
      </c>
      <c r="P98" s="24" t="str">
        <f>IF('Paste Sample Names Here'!J100="", "", 'Paste Sample Names Here'!J100)</f>
        <v/>
      </c>
      <c r="Q98" s="23" t="str">
        <f t="shared" si="4"/>
        <v/>
      </c>
      <c r="R98" s="23" t="str">
        <f>IF(P98="", "", Sheet3!H115)</f>
        <v/>
      </c>
      <c r="S98" s="23" t="str">
        <f ca="1">IF(P98="", "", OFFSET(Data!$C$210, 2*Sheet3!B158, 0))</f>
        <v/>
      </c>
      <c r="T98" s="23" t="str">
        <f ca="1">IF(P98="", "", OFFSET(Data!$E$210, 2*Sheet3!B158, 0))</f>
        <v/>
      </c>
      <c r="U98" s="23"/>
      <c r="V98" s="23" t="str">
        <f>IF('Paste Sample Names Here'!O100="","", 'Paste Sample Names Here'!O100)</f>
        <v/>
      </c>
      <c r="W98" s="24" t="str">
        <f>IF('Paste Sample Names Here'!N100="", "",'Paste Sample Names Here'!N100)</f>
        <v>Standard 4</v>
      </c>
      <c r="X98" s="23" t="str">
        <f t="shared" si="5"/>
        <v>Plate_4</v>
      </c>
      <c r="Y98" s="23" t="str">
        <f>IF(W98="", "", Sheet3!H115)</f>
        <v>H12</v>
      </c>
      <c r="Z98" s="23">
        <f ca="1">IF(W98="", "", OFFSET(Data!$C$211, 2*Sheet3!B158, 0))</f>
        <v>19.903999328613281</v>
      </c>
      <c r="AA98" s="23">
        <f ca="1">IF(W98="", "", OFFSET(Data!$E$211, 2*Sheet3!B158, 0))</f>
        <v>19.161166638895455</v>
      </c>
    </row>
  </sheetData>
  <mergeCells count="4">
    <mergeCell ref="A1:F1"/>
    <mergeCell ref="H1:M1"/>
    <mergeCell ref="O1:T1"/>
    <mergeCell ref="V1:AA1"/>
  </mergeCells>
  <conditionalFormatting sqref="G3:K98">
    <cfRule type="notContainsBlanks" dxfId="39" priority="29">
      <formula>LEN(TRIM(G3))&gt;0</formula>
    </cfRule>
  </conditionalFormatting>
  <conditionalFormatting sqref="U3:U98">
    <cfRule type="notContainsBlanks" dxfId="38" priority="27">
      <formula>LEN(TRIM(U3))&gt;0</formula>
    </cfRule>
  </conditionalFormatting>
  <conditionalFormatting sqref="AC3:AD3">
    <cfRule type="notContainsBlanks" dxfId="37" priority="15">
      <formula>LEN(TRIM(AC3))&gt;0</formula>
    </cfRule>
  </conditionalFormatting>
  <conditionalFormatting sqref="L3:M98">
    <cfRule type="notContainsBlanks" dxfId="36" priority="14">
      <formula>LEN(TRIM(L3))&gt;0</formula>
    </cfRule>
  </conditionalFormatting>
  <conditionalFormatting sqref="S3:S98">
    <cfRule type="notContainsBlanks" dxfId="35" priority="5">
      <formula>LEN(TRIM(S3))&gt;0</formula>
    </cfRule>
  </conditionalFormatting>
  <conditionalFormatting sqref="O3:R98">
    <cfRule type="notContainsBlanks" dxfId="34" priority="6">
      <formula>LEN(TRIM(O3))&gt;0</formula>
    </cfRule>
  </conditionalFormatting>
  <conditionalFormatting sqref="A3:D98">
    <cfRule type="notContainsBlanks" dxfId="33" priority="8">
      <formula>LEN(TRIM(A3))&gt;0</formula>
    </cfRule>
  </conditionalFormatting>
  <conditionalFormatting sqref="E3:F98">
    <cfRule type="notContainsBlanks" dxfId="32" priority="7">
      <formula>LEN(TRIM(E3))&gt;0</formula>
    </cfRule>
  </conditionalFormatting>
  <conditionalFormatting sqref="V3:Y98">
    <cfRule type="notContainsBlanks" dxfId="31" priority="4">
      <formula>LEN(TRIM(V3))&gt;0</formula>
    </cfRule>
  </conditionalFormatting>
  <conditionalFormatting sqref="Z3:AA98">
    <cfRule type="notContainsBlanks" dxfId="30" priority="3">
      <formula>LEN(TRIM(Z3))&gt;0</formula>
    </cfRule>
  </conditionalFormatting>
  <conditionalFormatting sqref="T3:T89">
    <cfRule type="notContainsBlanks" dxfId="29" priority="2">
      <formula>LEN(TRIM(T3))&gt;0</formula>
    </cfRule>
  </conditionalFormatting>
  <conditionalFormatting sqref="T90:T98">
    <cfRule type="notContainsBlanks" dxfId="28" priority="1">
      <formula>LEN(TRIM(T90))&gt;0</formula>
    </cfRule>
  </conditionalFormatting>
  <pageMargins left="0.7" right="0.7" top="0.75" bottom="0.75" header="0.3" footer="0.3"/>
  <pageSetup scale="28" fitToHeight="0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>
    <pageSetUpPr fitToPage="1"/>
  </sheetPr>
  <dimension ref="A1:N400"/>
  <sheetViews>
    <sheetView workbookViewId="0">
      <pane ySplit="2" topLeftCell="A3" activePane="bottomLeft" state="frozenSplit"/>
      <selection pane="bottomLeft" activeCell="A3" sqref="A3"/>
    </sheetView>
  </sheetViews>
  <sheetFormatPr baseColWidth="10" defaultColWidth="9.1640625" defaultRowHeight="15" x14ac:dyDescent="0.2"/>
  <cols>
    <col min="1" max="2" width="13.33203125" style="50" customWidth="1"/>
    <col min="3" max="3" width="15.1640625" style="50" customWidth="1"/>
    <col min="4" max="8" width="13.33203125" style="50" customWidth="1"/>
    <col min="9" max="10" width="9.1640625" style="50"/>
    <col min="11" max="12" width="13.6640625" style="50" customWidth="1"/>
    <col min="13" max="13" width="9.1640625" style="50"/>
    <col min="14" max="15" width="13.6640625" style="50" customWidth="1"/>
    <col min="16" max="16384" width="9.1640625" style="50"/>
  </cols>
  <sheetData>
    <row r="1" spans="1:14" ht="49" thickBot="1" x14ac:dyDescent="0.25">
      <c r="A1" s="89" t="s">
        <v>247</v>
      </c>
      <c r="B1" s="90">
        <v>1.4E-2</v>
      </c>
      <c r="C1" s="89" t="s">
        <v>249</v>
      </c>
      <c r="D1" s="90">
        <v>9</v>
      </c>
      <c r="E1" s="89" t="s">
        <v>164</v>
      </c>
      <c r="F1" s="91">
        <f>COUNTIF(I3:I400, "Y")</f>
        <v>0</v>
      </c>
      <c r="G1" s="89" t="s">
        <v>165</v>
      </c>
      <c r="H1" s="92">
        <f>SUMIF(I3:I371, "Y", H3:H371)</f>
        <v>0</v>
      </c>
      <c r="J1" s="159"/>
      <c r="K1" s="160"/>
      <c r="L1" s="160"/>
      <c r="M1" s="160"/>
      <c r="N1" s="161"/>
    </row>
    <row r="2" spans="1:14" ht="49" thickBot="1" x14ac:dyDescent="0.25">
      <c r="A2" s="89" t="s">
        <v>154</v>
      </c>
      <c r="B2" s="89" t="s">
        <v>39</v>
      </c>
      <c r="C2" s="89" t="s">
        <v>40</v>
      </c>
      <c r="D2" s="89" t="s">
        <v>41</v>
      </c>
      <c r="E2" s="89" t="s">
        <v>157</v>
      </c>
      <c r="F2" s="89" t="s">
        <v>42</v>
      </c>
      <c r="G2" s="89" t="s">
        <v>140</v>
      </c>
      <c r="H2" s="89" t="s">
        <v>141</v>
      </c>
      <c r="I2" s="94" t="s">
        <v>166</v>
      </c>
      <c r="J2" s="162"/>
      <c r="K2" s="163"/>
      <c r="L2" s="163"/>
      <c r="M2" s="163"/>
      <c r="N2" s="164"/>
    </row>
    <row r="3" spans="1:14" x14ac:dyDescent="0.2">
      <c r="A3" s="64"/>
      <c r="B3" s="64"/>
      <c r="C3" s="64"/>
      <c r="D3" s="64"/>
      <c r="E3" s="88"/>
      <c r="F3" s="88"/>
      <c r="G3" s="93" t="str">
        <f t="shared" ref="G3:G38" si="0">IF(OR(AND(B3="", C3="", D3="", F3= ""), F3=""), "", F3/10^6)</f>
        <v/>
      </c>
      <c r="H3" s="88" t="str">
        <f t="shared" ref="H3:H38" si="1">IF(OR(AND(B3="", C3="", D3="", F3=""), F3=""), "", B$1/G3)</f>
        <v/>
      </c>
      <c r="I3" s="64" t="str">
        <f t="shared" ref="I3:I38" si="2">IF(OR(AND(B3="", C3="", D3="", F3=""), F3=""), "", IF(H3&lt;=$D$1, "Y", ""))</f>
        <v/>
      </c>
    </row>
    <row r="4" spans="1:14" x14ac:dyDescent="0.2">
      <c r="A4" s="64"/>
      <c r="B4" s="64"/>
      <c r="C4" s="64"/>
      <c r="D4" s="64"/>
      <c r="E4" s="88"/>
      <c r="F4" s="88"/>
      <c r="G4" s="93" t="str">
        <f t="shared" si="0"/>
        <v/>
      </c>
      <c r="H4" s="88" t="str">
        <f t="shared" si="1"/>
        <v/>
      </c>
      <c r="I4" s="64" t="str">
        <f t="shared" si="2"/>
        <v/>
      </c>
    </row>
    <row r="5" spans="1:14" x14ac:dyDescent="0.2">
      <c r="A5" s="64"/>
      <c r="B5" s="64"/>
      <c r="C5" s="64"/>
      <c r="D5" s="64"/>
      <c r="E5" s="88"/>
      <c r="F5" s="88"/>
      <c r="G5" s="93" t="str">
        <f t="shared" si="0"/>
        <v/>
      </c>
      <c r="H5" s="88" t="str">
        <f t="shared" si="1"/>
        <v/>
      </c>
      <c r="I5" s="64" t="str">
        <f t="shared" si="2"/>
        <v/>
      </c>
    </row>
    <row r="6" spans="1:14" x14ac:dyDescent="0.2">
      <c r="A6" s="64"/>
      <c r="B6" s="64"/>
      <c r="C6" s="64"/>
      <c r="D6" s="64"/>
      <c r="E6" s="88"/>
      <c r="F6" s="88"/>
      <c r="G6" s="93" t="str">
        <f t="shared" si="0"/>
        <v/>
      </c>
      <c r="H6" s="88" t="str">
        <f t="shared" si="1"/>
        <v/>
      </c>
      <c r="I6" s="64" t="str">
        <f t="shared" si="2"/>
        <v/>
      </c>
    </row>
    <row r="7" spans="1:14" x14ac:dyDescent="0.2">
      <c r="A7" s="64"/>
      <c r="B7" s="64"/>
      <c r="C7" s="64"/>
      <c r="D7" s="64"/>
      <c r="E7" s="88"/>
      <c r="F7" s="88"/>
      <c r="G7" s="93" t="str">
        <f t="shared" si="0"/>
        <v/>
      </c>
      <c r="H7" s="88" t="str">
        <f t="shared" si="1"/>
        <v/>
      </c>
      <c r="I7" s="64" t="str">
        <f t="shared" si="2"/>
        <v/>
      </c>
    </row>
    <row r="8" spans="1:14" x14ac:dyDescent="0.2">
      <c r="A8" s="64"/>
      <c r="B8" s="64"/>
      <c r="C8" s="64"/>
      <c r="D8" s="64"/>
      <c r="E8" s="88"/>
      <c r="F8" s="88"/>
      <c r="G8" s="93" t="str">
        <f t="shared" si="0"/>
        <v/>
      </c>
      <c r="H8" s="88" t="str">
        <f t="shared" si="1"/>
        <v/>
      </c>
      <c r="I8" s="64" t="str">
        <f t="shared" si="2"/>
        <v/>
      </c>
    </row>
    <row r="9" spans="1:14" x14ac:dyDescent="0.2">
      <c r="A9" s="64"/>
      <c r="B9" s="64"/>
      <c r="C9" s="64"/>
      <c r="D9" s="64"/>
      <c r="E9" s="88"/>
      <c r="F9" s="88"/>
      <c r="G9" s="93" t="str">
        <f t="shared" si="0"/>
        <v/>
      </c>
      <c r="H9" s="88" t="str">
        <f t="shared" si="1"/>
        <v/>
      </c>
      <c r="I9" s="64" t="str">
        <f t="shared" si="2"/>
        <v/>
      </c>
    </row>
    <row r="10" spans="1:14" x14ac:dyDescent="0.2">
      <c r="A10" s="64"/>
      <c r="B10" s="64"/>
      <c r="C10" s="64"/>
      <c r="D10" s="64"/>
      <c r="E10" s="88"/>
      <c r="F10" s="88"/>
      <c r="G10" s="93" t="str">
        <f t="shared" si="0"/>
        <v/>
      </c>
      <c r="H10" s="88" t="str">
        <f t="shared" si="1"/>
        <v/>
      </c>
      <c r="I10" s="64" t="str">
        <f t="shared" si="2"/>
        <v/>
      </c>
    </row>
    <row r="11" spans="1:14" x14ac:dyDescent="0.2">
      <c r="A11" s="64"/>
      <c r="B11" s="64"/>
      <c r="C11" s="64"/>
      <c r="D11" s="64"/>
      <c r="E11" s="88"/>
      <c r="F11" s="88"/>
      <c r="G11" s="93" t="str">
        <f t="shared" si="0"/>
        <v/>
      </c>
      <c r="H11" s="88" t="str">
        <f t="shared" si="1"/>
        <v/>
      </c>
      <c r="I11" s="64" t="str">
        <f t="shared" si="2"/>
        <v/>
      </c>
    </row>
    <row r="12" spans="1:14" x14ac:dyDescent="0.2">
      <c r="A12" s="64"/>
      <c r="B12" s="64"/>
      <c r="C12" s="64"/>
      <c r="D12" s="64"/>
      <c r="E12" s="88"/>
      <c r="F12" s="88"/>
      <c r="G12" s="93" t="str">
        <f t="shared" si="0"/>
        <v/>
      </c>
      <c r="H12" s="88" t="str">
        <f t="shared" si="1"/>
        <v/>
      </c>
      <c r="I12" s="64" t="str">
        <f t="shared" si="2"/>
        <v/>
      </c>
    </row>
    <row r="13" spans="1:14" x14ac:dyDescent="0.2">
      <c r="A13" s="64"/>
      <c r="B13" s="64"/>
      <c r="C13" s="64"/>
      <c r="D13" s="64"/>
      <c r="E13" s="88"/>
      <c r="F13" s="88"/>
      <c r="G13" s="93" t="str">
        <f t="shared" si="0"/>
        <v/>
      </c>
      <c r="H13" s="88" t="str">
        <f t="shared" si="1"/>
        <v/>
      </c>
      <c r="I13" s="64" t="str">
        <f t="shared" si="2"/>
        <v/>
      </c>
    </row>
    <row r="14" spans="1:14" x14ac:dyDescent="0.2">
      <c r="A14" s="64"/>
      <c r="B14" s="64"/>
      <c r="C14" s="64"/>
      <c r="D14" s="64"/>
      <c r="E14" s="88"/>
      <c r="F14" s="88"/>
      <c r="G14" s="93" t="str">
        <f t="shared" si="0"/>
        <v/>
      </c>
      <c r="H14" s="88" t="str">
        <f t="shared" si="1"/>
        <v/>
      </c>
      <c r="I14" s="64" t="str">
        <f t="shared" si="2"/>
        <v/>
      </c>
    </row>
    <row r="15" spans="1:14" x14ac:dyDescent="0.2">
      <c r="A15" s="64"/>
      <c r="B15" s="64"/>
      <c r="C15" s="64"/>
      <c r="D15" s="64"/>
      <c r="E15" s="88"/>
      <c r="F15" s="88"/>
      <c r="G15" s="93" t="str">
        <f t="shared" si="0"/>
        <v/>
      </c>
      <c r="H15" s="88" t="str">
        <f t="shared" si="1"/>
        <v/>
      </c>
      <c r="I15" s="64" t="str">
        <f t="shared" si="2"/>
        <v/>
      </c>
    </row>
    <row r="16" spans="1:14" x14ac:dyDescent="0.2">
      <c r="A16" s="64"/>
      <c r="B16" s="64"/>
      <c r="C16" s="64"/>
      <c r="D16" s="64"/>
      <c r="E16" s="88"/>
      <c r="F16" s="88"/>
      <c r="G16" s="93" t="str">
        <f t="shared" si="0"/>
        <v/>
      </c>
      <c r="H16" s="88" t="str">
        <f t="shared" si="1"/>
        <v/>
      </c>
      <c r="I16" s="64" t="str">
        <f t="shared" si="2"/>
        <v/>
      </c>
    </row>
    <row r="17" spans="1:9" x14ac:dyDescent="0.2">
      <c r="A17" s="64"/>
      <c r="B17" s="64"/>
      <c r="C17" s="64"/>
      <c r="D17" s="64"/>
      <c r="E17" s="88"/>
      <c r="F17" s="88"/>
      <c r="G17" s="93" t="str">
        <f t="shared" si="0"/>
        <v/>
      </c>
      <c r="H17" s="88" t="str">
        <f t="shared" si="1"/>
        <v/>
      </c>
      <c r="I17" s="64" t="str">
        <f t="shared" si="2"/>
        <v/>
      </c>
    </row>
    <row r="18" spans="1:9" x14ac:dyDescent="0.2">
      <c r="A18" s="64"/>
      <c r="B18" s="64"/>
      <c r="C18" s="64"/>
      <c r="D18" s="64"/>
      <c r="E18" s="88"/>
      <c r="F18" s="88"/>
      <c r="G18" s="93" t="str">
        <f t="shared" si="0"/>
        <v/>
      </c>
      <c r="H18" s="88" t="str">
        <f t="shared" si="1"/>
        <v/>
      </c>
      <c r="I18" s="64" t="str">
        <f t="shared" si="2"/>
        <v/>
      </c>
    </row>
    <row r="19" spans="1:9" x14ac:dyDescent="0.2">
      <c r="A19" s="64"/>
      <c r="B19" s="64"/>
      <c r="C19" s="64"/>
      <c r="D19" s="64"/>
      <c r="E19" s="88"/>
      <c r="F19" s="88"/>
      <c r="G19" s="93" t="str">
        <f t="shared" si="0"/>
        <v/>
      </c>
      <c r="H19" s="88" t="str">
        <f t="shared" si="1"/>
        <v/>
      </c>
      <c r="I19" s="64" t="str">
        <f t="shared" si="2"/>
        <v/>
      </c>
    </row>
    <row r="20" spans="1:9" x14ac:dyDescent="0.2">
      <c r="A20" s="64"/>
      <c r="B20" s="64"/>
      <c r="C20" s="64"/>
      <c r="D20" s="64"/>
      <c r="E20" s="88"/>
      <c r="F20" s="88"/>
      <c r="G20" s="93" t="str">
        <f t="shared" si="0"/>
        <v/>
      </c>
      <c r="H20" s="88" t="str">
        <f t="shared" si="1"/>
        <v/>
      </c>
      <c r="I20" s="64" t="str">
        <f t="shared" si="2"/>
        <v/>
      </c>
    </row>
    <row r="21" spans="1:9" x14ac:dyDescent="0.2">
      <c r="A21" s="64"/>
      <c r="B21" s="64"/>
      <c r="C21" s="64"/>
      <c r="D21" s="64"/>
      <c r="E21" s="88"/>
      <c r="F21" s="88"/>
      <c r="G21" s="93" t="str">
        <f t="shared" si="0"/>
        <v/>
      </c>
      <c r="H21" s="88" t="str">
        <f t="shared" si="1"/>
        <v/>
      </c>
      <c r="I21" s="64" t="str">
        <f t="shared" si="2"/>
        <v/>
      </c>
    </row>
    <row r="22" spans="1:9" x14ac:dyDescent="0.2">
      <c r="A22" s="64"/>
      <c r="B22" s="64"/>
      <c r="C22" s="64"/>
      <c r="D22" s="64"/>
      <c r="E22" s="88"/>
      <c r="F22" s="88"/>
      <c r="G22" s="93" t="str">
        <f t="shared" si="0"/>
        <v/>
      </c>
      <c r="H22" s="88" t="str">
        <f t="shared" si="1"/>
        <v/>
      </c>
      <c r="I22" s="64" t="str">
        <f t="shared" si="2"/>
        <v/>
      </c>
    </row>
    <row r="23" spans="1:9" x14ac:dyDescent="0.2">
      <c r="A23" s="64"/>
      <c r="B23" s="64"/>
      <c r="C23" s="64"/>
      <c r="D23" s="64"/>
      <c r="E23" s="88"/>
      <c r="F23" s="88"/>
      <c r="G23" s="93" t="str">
        <f t="shared" si="0"/>
        <v/>
      </c>
      <c r="H23" s="88" t="str">
        <f t="shared" si="1"/>
        <v/>
      </c>
      <c r="I23" s="64" t="str">
        <f t="shared" si="2"/>
        <v/>
      </c>
    </row>
    <row r="24" spans="1:9" x14ac:dyDescent="0.2">
      <c r="A24" s="64"/>
      <c r="B24" s="64"/>
      <c r="C24" s="64"/>
      <c r="D24" s="64"/>
      <c r="E24" s="88"/>
      <c r="F24" s="88"/>
      <c r="G24" s="93" t="str">
        <f t="shared" si="0"/>
        <v/>
      </c>
      <c r="H24" s="88" t="str">
        <f t="shared" si="1"/>
        <v/>
      </c>
      <c r="I24" s="64" t="str">
        <f t="shared" si="2"/>
        <v/>
      </c>
    </row>
    <row r="25" spans="1:9" x14ac:dyDescent="0.2">
      <c r="A25" s="64"/>
      <c r="B25" s="64"/>
      <c r="C25" s="64"/>
      <c r="D25" s="64"/>
      <c r="E25" s="88"/>
      <c r="F25" s="88"/>
      <c r="G25" s="93" t="str">
        <f t="shared" si="0"/>
        <v/>
      </c>
      <c r="H25" s="88" t="str">
        <f t="shared" si="1"/>
        <v/>
      </c>
      <c r="I25" s="64" t="str">
        <f t="shared" si="2"/>
        <v/>
      </c>
    </row>
    <row r="26" spans="1:9" x14ac:dyDescent="0.2">
      <c r="A26" s="64"/>
      <c r="B26" s="64"/>
      <c r="C26" s="64"/>
      <c r="D26" s="64"/>
      <c r="E26" s="88"/>
      <c r="F26" s="88"/>
      <c r="G26" s="93" t="str">
        <f t="shared" si="0"/>
        <v/>
      </c>
      <c r="H26" s="88" t="str">
        <f t="shared" si="1"/>
        <v/>
      </c>
      <c r="I26" s="64" t="str">
        <f t="shared" si="2"/>
        <v/>
      </c>
    </row>
    <row r="27" spans="1:9" x14ac:dyDescent="0.2">
      <c r="A27" s="64"/>
      <c r="B27" s="64"/>
      <c r="C27" s="64"/>
      <c r="D27" s="64"/>
      <c r="E27" s="88"/>
      <c r="F27" s="88"/>
      <c r="G27" s="93" t="str">
        <f t="shared" si="0"/>
        <v/>
      </c>
      <c r="H27" s="88" t="str">
        <f t="shared" si="1"/>
        <v/>
      </c>
      <c r="I27" s="64" t="str">
        <f t="shared" si="2"/>
        <v/>
      </c>
    </row>
    <row r="28" spans="1:9" x14ac:dyDescent="0.2">
      <c r="A28" s="64"/>
      <c r="B28" s="64"/>
      <c r="C28" s="64"/>
      <c r="D28" s="64"/>
      <c r="E28" s="88"/>
      <c r="F28" s="88"/>
      <c r="G28" s="93" t="str">
        <f t="shared" si="0"/>
        <v/>
      </c>
      <c r="H28" s="88" t="str">
        <f t="shared" si="1"/>
        <v/>
      </c>
      <c r="I28" s="64" t="str">
        <f t="shared" si="2"/>
        <v/>
      </c>
    </row>
    <row r="29" spans="1:9" x14ac:dyDescent="0.2">
      <c r="A29" s="64"/>
      <c r="B29" s="64"/>
      <c r="C29" s="64"/>
      <c r="D29" s="64"/>
      <c r="E29" s="88"/>
      <c r="F29" s="88"/>
      <c r="G29" s="93" t="str">
        <f t="shared" si="0"/>
        <v/>
      </c>
      <c r="H29" s="88" t="str">
        <f t="shared" si="1"/>
        <v/>
      </c>
      <c r="I29" s="64" t="str">
        <f t="shared" si="2"/>
        <v/>
      </c>
    </row>
    <row r="30" spans="1:9" x14ac:dyDescent="0.2">
      <c r="A30" s="64"/>
      <c r="B30" s="64"/>
      <c r="C30" s="64"/>
      <c r="D30" s="64"/>
      <c r="E30" s="88"/>
      <c r="F30" s="88"/>
      <c r="G30" s="93" t="str">
        <f t="shared" si="0"/>
        <v/>
      </c>
      <c r="H30" s="88" t="str">
        <f t="shared" si="1"/>
        <v/>
      </c>
      <c r="I30" s="64" t="str">
        <f t="shared" si="2"/>
        <v/>
      </c>
    </row>
    <row r="31" spans="1:9" x14ac:dyDescent="0.2">
      <c r="A31" s="64"/>
      <c r="B31" s="64"/>
      <c r="C31" s="64"/>
      <c r="D31" s="64"/>
      <c r="E31" s="88"/>
      <c r="F31" s="88"/>
      <c r="G31" s="93" t="str">
        <f t="shared" si="0"/>
        <v/>
      </c>
      <c r="H31" s="88" t="str">
        <f t="shared" si="1"/>
        <v/>
      </c>
      <c r="I31" s="64" t="str">
        <f t="shared" si="2"/>
        <v/>
      </c>
    </row>
    <row r="32" spans="1:9" x14ac:dyDescent="0.2">
      <c r="A32" s="64"/>
      <c r="B32" s="64"/>
      <c r="C32" s="64"/>
      <c r="D32" s="64"/>
      <c r="E32" s="88"/>
      <c r="F32" s="88"/>
      <c r="G32" s="93" t="str">
        <f t="shared" si="0"/>
        <v/>
      </c>
      <c r="H32" s="88" t="str">
        <f t="shared" si="1"/>
        <v/>
      </c>
      <c r="I32" s="64" t="str">
        <f t="shared" si="2"/>
        <v/>
      </c>
    </row>
    <row r="33" spans="1:9" x14ac:dyDescent="0.2">
      <c r="A33" s="64"/>
      <c r="B33" s="64"/>
      <c r="C33" s="64"/>
      <c r="D33" s="64"/>
      <c r="E33" s="88"/>
      <c r="F33" s="88"/>
      <c r="G33" s="93" t="str">
        <f t="shared" si="0"/>
        <v/>
      </c>
      <c r="H33" s="88" t="str">
        <f t="shared" si="1"/>
        <v/>
      </c>
      <c r="I33" s="64" t="str">
        <f t="shared" si="2"/>
        <v/>
      </c>
    </row>
    <row r="34" spans="1:9" x14ac:dyDescent="0.2">
      <c r="A34" s="64"/>
      <c r="B34" s="64"/>
      <c r="C34" s="64"/>
      <c r="D34" s="64"/>
      <c r="E34" s="88"/>
      <c r="F34" s="88"/>
      <c r="G34" s="93" t="str">
        <f t="shared" si="0"/>
        <v/>
      </c>
      <c r="H34" s="88" t="str">
        <f t="shared" si="1"/>
        <v/>
      </c>
      <c r="I34" s="64" t="str">
        <f t="shared" si="2"/>
        <v/>
      </c>
    </row>
    <row r="35" spans="1:9" x14ac:dyDescent="0.2">
      <c r="A35" s="64"/>
      <c r="B35" s="64"/>
      <c r="C35" s="64"/>
      <c r="D35" s="64"/>
      <c r="E35" s="88"/>
      <c r="F35" s="88"/>
      <c r="G35" s="93" t="str">
        <f t="shared" si="0"/>
        <v/>
      </c>
      <c r="H35" s="88" t="str">
        <f t="shared" si="1"/>
        <v/>
      </c>
      <c r="I35" s="64" t="str">
        <f t="shared" si="2"/>
        <v/>
      </c>
    </row>
    <row r="36" spans="1:9" x14ac:dyDescent="0.2">
      <c r="A36" s="64"/>
      <c r="B36" s="64"/>
      <c r="C36" s="64"/>
      <c r="D36" s="64"/>
      <c r="E36" s="88"/>
      <c r="F36" s="88"/>
      <c r="G36" s="93" t="str">
        <f t="shared" si="0"/>
        <v/>
      </c>
      <c r="H36" s="88" t="str">
        <f t="shared" si="1"/>
        <v/>
      </c>
      <c r="I36" s="64" t="str">
        <f t="shared" si="2"/>
        <v/>
      </c>
    </row>
    <row r="37" spans="1:9" x14ac:dyDescent="0.2">
      <c r="A37" s="64"/>
      <c r="B37" s="64"/>
      <c r="C37" s="64"/>
      <c r="D37" s="64"/>
      <c r="E37" s="88"/>
      <c r="F37" s="88"/>
      <c r="G37" s="93" t="str">
        <f t="shared" si="0"/>
        <v/>
      </c>
      <c r="H37" s="88" t="str">
        <f t="shared" si="1"/>
        <v/>
      </c>
      <c r="I37" s="64" t="str">
        <f t="shared" si="2"/>
        <v/>
      </c>
    </row>
    <row r="38" spans="1:9" x14ac:dyDescent="0.2">
      <c r="A38" s="64"/>
      <c r="B38" s="64"/>
      <c r="C38" s="64"/>
      <c r="D38" s="64"/>
      <c r="E38" s="88"/>
      <c r="F38" s="88"/>
      <c r="G38" s="93" t="str">
        <f t="shared" si="0"/>
        <v/>
      </c>
      <c r="H38" s="88" t="str">
        <f t="shared" si="1"/>
        <v/>
      </c>
      <c r="I38" s="64" t="str">
        <f t="shared" si="2"/>
        <v/>
      </c>
    </row>
    <row r="39" spans="1:9" x14ac:dyDescent="0.2">
      <c r="A39" s="64"/>
      <c r="B39" s="64"/>
      <c r="C39" s="64"/>
      <c r="D39" s="64"/>
      <c r="E39" s="88"/>
      <c r="F39" s="88"/>
      <c r="G39" s="93" t="str">
        <f t="shared" ref="G39:G69" si="3">IF(OR(AND(B39="", C39="", D39="", F39= ""), F39=""), "", F39/10^6)</f>
        <v/>
      </c>
      <c r="H39" s="88" t="str">
        <f t="shared" ref="H39:H102" si="4">IF(OR(AND(B39="", C39="", D39="", F39=""), F39=""), "", B$1/G39)</f>
        <v/>
      </c>
      <c r="I39" s="64" t="str">
        <f t="shared" ref="I39:I102" si="5">IF(OR(AND(B39="", C39="", D39="", F39=""), F39=""), "", IF(H39&lt;=$D$1, "Y", ""))</f>
        <v/>
      </c>
    </row>
    <row r="40" spans="1:9" x14ac:dyDescent="0.2">
      <c r="A40" s="64"/>
      <c r="B40" s="64"/>
      <c r="C40" s="64"/>
      <c r="D40" s="64"/>
      <c r="E40" s="88"/>
      <c r="F40" s="88"/>
      <c r="G40" s="93" t="str">
        <f t="shared" si="3"/>
        <v/>
      </c>
      <c r="H40" s="88" t="str">
        <f t="shared" si="4"/>
        <v/>
      </c>
      <c r="I40" s="64" t="str">
        <f t="shared" si="5"/>
        <v/>
      </c>
    </row>
    <row r="41" spans="1:9" x14ac:dyDescent="0.2">
      <c r="A41" s="64"/>
      <c r="B41" s="64"/>
      <c r="C41" s="64"/>
      <c r="D41" s="64"/>
      <c r="E41" s="88"/>
      <c r="F41" s="88"/>
      <c r="G41" s="93" t="str">
        <f t="shared" si="3"/>
        <v/>
      </c>
      <c r="H41" s="88" t="str">
        <f t="shared" si="4"/>
        <v/>
      </c>
      <c r="I41" s="64" t="str">
        <f t="shared" si="5"/>
        <v/>
      </c>
    </row>
    <row r="42" spans="1:9" x14ac:dyDescent="0.2">
      <c r="A42" s="64"/>
      <c r="B42" s="64"/>
      <c r="C42" s="64"/>
      <c r="D42" s="64"/>
      <c r="E42" s="88"/>
      <c r="F42" s="88"/>
      <c r="G42" s="93" t="str">
        <f t="shared" si="3"/>
        <v/>
      </c>
      <c r="H42" s="88" t="str">
        <f t="shared" si="4"/>
        <v/>
      </c>
      <c r="I42" s="64" t="str">
        <f t="shared" si="5"/>
        <v/>
      </c>
    </row>
    <row r="43" spans="1:9" x14ac:dyDescent="0.2">
      <c r="A43" s="64"/>
      <c r="B43" s="64"/>
      <c r="C43" s="64"/>
      <c r="D43" s="64"/>
      <c r="E43" s="88"/>
      <c r="F43" s="88"/>
      <c r="G43" s="93" t="str">
        <f t="shared" si="3"/>
        <v/>
      </c>
      <c r="H43" s="88" t="str">
        <f t="shared" si="4"/>
        <v/>
      </c>
      <c r="I43" s="64" t="str">
        <f t="shared" si="5"/>
        <v/>
      </c>
    </row>
    <row r="44" spans="1:9" x14ac:dyDescent="0.2">
      <c r="A44" s="64"/>
      <c r="B44" s="64"/>
      <c r="C44" s="64"/>
      <c r="D44" s="64"/>
      <c r="E44" s="88"/>
      <c r="F44" s="88"/>
      <c r="G44" s="93" t="str">
        <f t="shared" si="3"/>
        <v/>
      </c>
      <c r="H44" s="88" t="str">
        <f t="shared" si="4"/>
        <v/>
      </c>
      <c r="I44" s="64" t="str">
        <f t="shared" si="5"/>
        <v/>
      </c>
    </row>
    <row r="45" spans="1:9" x14ac:dyDescent="0.2">
      <c r="A45" s="64"/>
      <c r="B45" s="64"/>
      <c r="C45" s="64"/>
      <c r="D45" s="64"/>
      <c r="E45" s="88"/>
      <c r="F45" s="88"/>
      <c r="G45" s="93" t="str">
        <f t="shared" si="3"/>
        <v/>
      </c>
      <c r="H45" s="88" t="str">
        <f t="shared" si="4"/>
        <v/>
      </c>
      <c r="I45" s="64" t="str">
        <f t="shared" si="5"/>
        <v/>
      </c>
    </row>
    <row r="46" spans="1:9" x14ac:dyDescent="0.2">
      <c r="A46" s="64"/>
      <c r="B46" s="64"/>
      <c r="C46" s="64"/>
      <c r="D46" s="64"/>
      <c r="E46" s="88"/>
      <c r="F46" s="88"/>
      <c r="G46" s="93" t="str">
        <f t="shared" si="3"/>
        <v/>
      </c>
      <c r="H46" s="88" t="str">
        <f t="shared" si="4"/>
        <v/>
      </c>
      <c r="I46" s="64" t="str">
        <f t="shared" si="5"/>
        <v/>
      </c>
    </row>
    <row r="47" spans="1:9" x14ac:dyDescent="0.2">
      <c r="A47" s="64"/>
      <c r="B47" s="64"/>
      <c r="C47" s="64"/>
      <c r="D47" s="64"/>
      <c r="E47" s="88"/>
      <c r="F47" s="88"/>
      <c r="G47" s="93" t="str">
        <f t="shared" si="3"/>
        <v/>
      </c>
      <c r="H47" s="88" t="str">
        <f t="shared" si="4"/>
        <v/>
      </c>
      <c r="I47" s="64" t="str">
        <f t="shared" si="5"/>
        <v/>
      </c>
    </row>
    <row r="48" spans="1:9" x14ac:dyDescent="0.2">
      <c r="A48" s="64"/>
      <c r="B48" s="64"/>
      <c r="C48" s="64"/>
      <c r="D48" s="64"/>
      <c r="E48" s="88"/>
      <c r="F48" s="88"/>
      <c r="G48" s="93" t="str">
        <f t="shared" si="3"/>
        <v/>
      </c>
      <c r="H48" s="88" t="str">
        <f t="shared" si="4"/>
        <v/>
      </c>
      <c r="I48" s="64" t="str">
        <f t="shared" si="5"/>
        <v/>
      </c>
    </row>
    <row r="49" spans="1:9" x14ac:dyDescent="0.2">
      <c r="A49" s="64"/>
      <c r="B49" s="64"/>
      <c r="C49" s="64"/>
      <c r="D49" s="64"/>
      <c r="E49" s="88"/>
      <c r="F49" s="88"/>
      <c r="G49" s="93" t="str">
        <f t="shared" si="3"/>
        <v/>
      </c>
      <c r="H49" s="88" t="str">
        <f t="shared" si="4"/>
        <v/>
      </c>
      <c r="I49" s="64" t="str">
        <f t="shared" si="5"/>
        <v/>
      </c>
    </row>
    <row r="50" spans="1:9" x14ac:dyDescent="0.2">
      <c r="A50" s="64"/>
      <c r="B50" s="64"/>
      <c r="C50" s="64"/>
      <c r="D50" s="64"/>
      <c r="E50" s="88"/>
      <c r="F50" s="88"/>
      <c r="G50" s="93" t="str">
        <f t="shared" si="3"/>
        <v/>
      </c>
      <c r="H50" s="88" t="str">
        <f t="shared" si="4"/>
        <v/>
      </c>
      <c r="I50" s="64" t="str">
        <f t="shared" si="5"/>
        <v/>
      </c>
    </row>
    <row r="51" spans="1:9" x14ac:dyDescent="0.2">
      <c r="A51" s="64"/>
      <c r="B51" s="64"/>
      <c r="C51" s="64"/>
      <c r="D51" s="64"/>
      <c r="E51" s="88"/>
      <c r="F51" s="88"/>
      <c r="G51" s="93" t="str">
        <f t="shared" si="3"/>
        <v/>
      </c>
      <c r="H51" s="88" t="str">
        <f t="shared" si="4"/>
        <v/>
      </c>
      <c r="I51" s="64" t="str">
        <f t="shared" si="5"/>
        <v/>
      </c>
    </row>
    <row r="52" spans="1:9" x14ac:dyDescent="0.2">
      <c r="A52" s="64"/>
      <c r="B52" s="64"/>
      <c r="C52" s="64"/>
      <c r="D52" s="64"/>
      <c r="E52" s="88"/>
      <c r="F52" s="88"/>
      <c r="G52" s="93" t="str">
        <f t="shared" si="3"/>
        <v/>
      </c>
      <c r="H52" s="88" t="str">
        <f t="shared" si="4"/>
        <v/>
      </c>
      <c r="I52" s="64" t="str">
        <f t="shared" si="5"/>
        <v/>
      </c>
    </row>
    <row r="53" spans="1:9" x14ac:dyDescent="0.2">
      <c r="A53" s="64"/>
      <c r="B53" s="64"/>
      <c r="C53" s="64"/>
      <c r="D53" s="64"/>
      <c r="E53" s="88"/>
      <c r="F53" s="88"/>
      <c r="G53" s="93" t="str">
        <f t="shared" si="3"/>
        <v/>
      </c>
      <c r="H53" s="88" t="str">
        <f t="shared" si="4"/>
        <v/>
      </c>
      <c r="I53" s="64" t="str">
        <f t="shared" si="5"/>
        <v/>
      </c>
    </row>
    <row r="54" spans="1:9" x14ac:dyDescent="0.2">
      <c r="A54" s="64"/>
      <c r="B54" s="64"/>
      <c r="C54" s="64"/>
      <c r="D54" s="64"/>
      <c r="E54" s="88"/>
      <c r="F54" s="88"/>
      <c r="G54" s="93" t="str">
        <f t="shared" si="3"/>
        <v/>
      </c>
      <c r="H54" s="88" t="str">
        <f t="shared" si="4"/>
        <v/>
      </c>
      <c r="I54" s="64" t="str">
        <f t="shared" si="5"/>
        <v/>
      </c>
    </row>
    <row r="55" spans="1:9" x14ac:dyDescent="0.2">
      <c r="A55" s="64"/>
      <c r="B55" s="64"/>
      <c r="C55" s="64"/>
      <c r="D55" s="64"/>
      <c r="E55" s="88"/>
      <c r="F55" s="88"/>
      <c r="G55" s="93" t="str">
        <f t="shared" si="3"/>
        <v/>
      </c>
      <c r="H55" s="88" t="str">
        <f t="shared" si="4"/>
        <v/>
      </c>
      <c r="I55" s="64" t="str">
        <f t="shared" si="5"/>
        <v/>
      </c>
    </row>
    <row r="56" spans="1:9" x14ac:dyDescent="0.2">
      <c r="A56" s="64"/>
      <c r="B56" s="64"/>
      <c r="C56" s="64"/>
      <c r="D56" s="64"/>
      <c r="E56" s="88"/>
      <c r="F56" s="88"/>
      <c r="G56" s="93" t="str">
        <f t="shared" si="3"/>
        <v/>
      </c>
      <c r="H56" s="88" t="str">
        <f t="shared" si="4"/>
        <v/>
      </c>
      <c r="I56" s="64" t="str">
        <f t="shared" si="5"/>
        <v/>
      </c>
    </row>
    <row r="57" spans="1:9" x14ac:dyDescent="0.2">
      <c r="A57" s="64"/>
      <c r="B57" s="64"/>
      <c r="C57" s="64"/>
      <c r="D57" s="64"/>
      <c r="E57" s="88"/>
      <c r="F57" s="88"/>
      <c r="G57" s="93" t="str">
        <f t="shared" si="3"/>
        <v/>
      </c>
      <c r="H57" s="88" t="str">
        <f t="shared" si="4"/>
        <v/>
      </c>
      <c r="I57" s="64" t="str">
        <f t="shared" si="5"/>
        <v/>
      </c>
    </row>
    <row r="58" spans="1:9" x14ac:dyDescent="0.2">
      <c r="A58" s="64"/>
      <c r="B58" s="64"/>
      <c r="C58" s="64"/>
      <c r="D58" s="64"/>
      <c r="E58" s="88"/>
      <c r="F58" s="88"/>
      <c r="G58" s="93" t="str">
        <f t="shared" si="3"/>
        <v/>
      </c>
      <c r="H58" s="88" t="str">
        <f t="shared" si="4"/>
        <v/>
      </c>
      <c r="I58" s="64" t="str">
        <f t="shared" si="5"/>
        <v/>
      </c>
    </row>
    <row r="59" spans="1:9" x14ac:dyDescent="0.2">
      <c r="A59" s="64"/>
      <c r="B59" s="64"/>
      <c r="C59" s="64"/>
      <c r="D59" s="64"/>
      <c r="E59" s="88"/>
      <c r="F59" s="88"/>
      <c r="G59" s="93" t="str">
        <f t="shared" si="3"/>
        <v/>
      </c>
      <c r="H59" s="88" t="str">
        <f t="shared" si="4"/>
        <v/>
      </c>
      <c r="I59" s="64" t="str">
        <f t="shared" si="5"/>
        <v/>
      </c>
    </row>
    <row r="60" spans="1:9" x14ac:dyDescent="0.2">
      <c r="A60" s="64"/>
      <c r="B60" s="64"/>
      <c r="C60" s="64"/>
      <c r="D60" s="64"/>
      <c r="E60" s="88"/>
      <c r="F60" s="88"/>
      <c r="G60" s="93" t="str">
        <f t="shared" si="3"/>
        <v/>
      </c>
      <c r="H60" s="88" t="str">
        <f t="shared" si="4"/>
        <v/>
      </c>
      <c r="I60" s="64" t="str">
        <f t="shared" si="5"/>
        <v/>
      </c>
    </row>
    <row r="61" spans="1:9" x14ac:dyDescent="0.2">
      <c r="A61" s="64"/>
      <c r="B61" s="64"/>
      <c r="C61" s="64"/>
      <c r="D61" s="64"/>
      <c r="E61" s="88"/>
      <c r="F61" s="88"/>
      <c r="G61" s="93" t="str">
        <f t="shared" si="3"/>
        <v/>
      </c>
      <c r="H61" s="88" t="str">
        <f t="shared" si="4"/>
        <v/>
      </c>
      <c r="I61" s="64" t="str">
        <f t="shared" si="5"/>
        <v/>
      </c>
    </row>
    <row r="62" spans="1:9" x14ac:dyDescent="0.2">
      <c r="A62" s="64"/>
      <c r="B62" s="64"/>
      <c r="C62" s="64"/>
      <c r="D62" s="64"/>
      <c r="E62" s="88"/>
      <c r="F62" s="88"/>
      <c r="G62" s="93" t="str">
        <f t="shared" si="3"/>
        <v/>
      </c>
      <c r="H62" s="88" t="str">
        <f t="shared" si="4"/>
        <v/>
      </c>
      <c r="I62" s="64" t="str">
        <f t="shared" si="5"/>
        <v/>
      </c>
    </row>
    <row r="63" spans="1:9" x14ac:dyDescent="0.2">
      <c r="A63" s="64"/>
      <c r="B63" s="64"/>
      <c r="C63" s="64"/>
      <c r="D63" s="64"/>
      <c r="E63" s="88"/>
      <c r="F63" s="88"/>
      <c r="G63" s="93" t="str">
        <f t="shared" si="3"/>
        <v/>
      </c>
      <c r="H63" s="88" t="str">
        <f t="shared" si="4"/>
        <v/>
      </c>
      <c r="I63" s="64" t="str">
        <f t="shared" si="5"/>
        <v/>
      </c>
    </row>
    <row r="64" spans="1:9" x14ac:dyDescent="0.2">
      <c r="A64" s="64"/>
      <c r="B64" s="64"/>
      <c r="C64" s="64"/>
      <c r="D64" s="64"/>
      <c r="E64" s="88"/>
      <c r="F64" s="88"/>
      <c r="G64" s="93" t="str">
        <f t="shared" si="3"/>
        <v/>
      </c>
      <c r="H64" s="88" t="str">
        <f t="shared" si="4"/>
        <v/>
      </c>
      <c r="I64" s="64" t="str">
        <f t="shared" si="5"/>
        <v/>
      </c>
    </row>
    <row r="65" spans="1:9" x14ac:dyDescent="0.2">
      <c r="A65" s="64"/>
      <c r="B65" s="64"/>
      <c r="C65" s="64"/>
      <c r="D65" s="64"/>
      <c r="E65" s="88"/>
      <c r="F65" s="88"/>
      <c r="G65" s="93" t="str">
        <f t="shared" si="3"/>
        <v/>
      </c>
      <c r="H65" s="88" t="str">
        <f t="shared" si="4"/>
        <v/>
      </c>
      <c r="I65" s="64" t="str">
        <f t="shared" si="5"/>
        <v/>
      </c>
    </row>
    <row r="66" spans="1:9" x14ac:dyDescent="0.2">
      <c r="A66" s="64"/>
      <c r="B66" s="64"/>
      <c r="C66" s="64"/>
      <c r="D66" s="64"/>
      <c r="E66" s="88"/>
      <c r="F66" s="88"/>
      <c r="G66" s="93" t="str">
        <f t="shared" si="3"/>
        <v/>
      </c>
      <c r="H66" s="88" t="str">
        <f t="shared" si="4"/>
        <v/>
      </c>
      <c r="I66" s="64" t="str">
        <f t="shared" si="5"/>
        <v/>
      </c>
    </row>
    <row r="67" spans="1:9" x14ac:dyDescent="0.2">
      <c r="A67" s="64"/>
      <c r="B67" s="64"/>
      <c r="C67" s="64"/>
      <c r="D67" s="64"/>
      <c r="E67" s="88"/>
      <c r="F67" s="88"/>
      <c r="G67" s="93" t="str">
        <f t="shared" si="3"/>
        <v/>
      </c>
      <c r="H67" s="88" t="str">
        <f t="shared" si="4"/>
        <v/>
      </c>
      <c r="I67" s="64" t="str">
        <f t="shared" si="5"/>
        <v/>
      </c>
    </row>
    <row r="68" spans="1:9" x14ac:dyDescent="0.2">
      <c r="A68" s="64"/>
      <c r="B68" s="64"/>
      <c r="C68" s="64"/>
      <c r="D68" s="64"/>
      <c r="E68" s="88"/>
      <c r="F68" s="88"/>
      <c r="G68" s="93" t="str">
        <f t="shared" si="3"/>
        <v/>
      </c>
      <c r="H68" s="88" t="str">
        <f t="shared" si="4"/>
        <v/>
      </c>
      <c r="I68" s="64" t="str">
        <f t="shared" si="5"/>
        <v/>
      </c>
    </row>
    <row r="69" spans="1:9" x14ac:dyDescent="0.2">
      <c r="A69" s="64"/>
      <c r="B69" s="64"/>
      <c r="C69" s="64"/>
      <c r="D69" s="64"/>
      <c r="E69" s="88"/>
      <c r="F69" s="88"/>
      <c r="G69" s="93" t="str">
        <f t="shared" si="3"/>
        <v/>
      </c>
      <c r="H69" s="88" t="str">
        <f t="shared" si="4"/>
        <v/>
      </c>
      <c r="I69" s="64" t="str">
        <f t="shared" si="5"/>
        <v/>
      </c>
    </row>
    <row r="70" spans="1:9" x14ac:dyDescent="0.2">
      <c r="A70" s="64"/>
      <c r="B70" s="64"/>
      <c r="C70" s="64"/>
      <c r="D70" s="64"/>
      <c r="E70" s="88"/>
      <c r="F70" s="88"/>
      <c r="G70" s="93" t="str">
        <f t="shared" ref="G70:G133" si="6">IF(OR(AND(B70="", C70="", D70="", F70= ""), F70=""), "", F70/10^6)</f>
        <v/>
      </c>
      <c r="H70" s="88" t="str">
        <f t="shared" si="4"/>
        <v/>
      </c>
      <c r="I70" s="64" t="str">
        <f t="shared" si="5"/>
        <v/>
      </c>
    </row>
    <row r="71" spans="1:9" x14ac:dyDescent="0.2">
      <c r="A71" s="64"/>
      <c r="B71" s="64"/>
      <c r="C71" s="64"/>
      <c r="D71" s="64"/>
      <c r="E71" s="88"/>
      <c r="F71" s="88"/>
      <c r="G71" s="93" t="str">
        <f t="shared" si="6"/>
        <v/>
      </c>
      <c r="H71" s="88" t="str">
        <f t="shared" si="4"/>
        <v/>
      </c>
      <c r="I71" s="64" t="str">
        <f t="shared" si="5"/>
        <v/>
      </c>
    </row>
    <row r="72" spans="1:9" x14ac:dyDescent="0.2">
      <c r="A72" s="64"/>
      <c r="B72" s="64"/>
      <c r="C72" s="64"/>
      <c r="D72" s="64"/>
      <c r="E72" s="88"/>
      <c r="F72" s="88"/>
      <c r="G72" s="93" t="str">
        <f t="shared" si="6"/>
        <v/>
      </c>
      <c r="H72" s="88" t="str">
        <f t="shared" si="4"/>
        <v/>
      </c>
      <c r="I72" s="64" t="str">
        <f t="shared" si="5"/>
        <v/>
      </c>
    </row>
    <row r="73" spans="1:9" x14ac:dyDescent="0.2">
      <c r="A73" s="64"/>
      <c r="B73" s="64"/>
      <c r="C73" s="64"/>
      <c r="D73" s="64"/>
      <c r="E73" s="88"/>
      <c r="F73" s="88"/>
      <c r="G73" s="93" t="str">
        <f t="shared" si="6"/>
        <v/>
      </c>
      <c r="H73" s="88" t="str">
        <f t="shared" si="4"/>
        <v/>
      </c>
      <c r="I73" s="64" t="str">
        <f t="shared" si="5"/>
        <v/>
      </c>
    </row>
    <row r="74" spans="1:9" x14ac:dyDescent="0.2">
      <c r="A74" s="64"/>
      <c r="B74" s="64"/>
      <c r="C74" s="64"/>
      <c r="D74" s="64"/>
      <c r="E74" s="88"/>
      <c r="F74" s="88"/>
      <c r="G74" s="93" t="str">
        <f t="shared" si="6"/>
        <v/>
      </c>
      <c r="H74" s="88" t="str">
        <f t="shared" si="4"/>
        <v/>
      </c>
      <c r="I74" s="64" t="str">
        <f t="shared" si="5"/>
        <v/>
      </c>
    </row>
    <row r="75" spans="1:9" x14ac:dyDescent="0.2">
      <c r="A75" s="64"/>
      <c r="B75" s="64"/>
      <c r="C75" s="64"/>
      <c r="D75" s="64"/>
      <c r="E75" s="88"/>
      <c r="F75" s="88"/>
      <c r="G75" s="93" t="str">
        <f t="shared" si="6"/>
        <v/>
      </c>
      <c r="H75" s="88" t="str">
        <f t="shared" si="4"/>
        <v/>
      </c>
      <c r="I75" s="64" t="str">
        <f t="shared" si="5"/>
        <v/>
      </c>
    </row>
    <row r="76" spans="1:9" x14ac:dyDescent="0.2">
      <c r="A76" s="64"/>
      <c r="B76" s="64"/>
      <c r="C76" s="64"/>
      <c r="D76" s="64"/>
      <c r="E76" s="88"/>
      <c r="F76" s="88"/>
      <c r="G76" s="93" t="str">
        <f t="shared" si="6"/>
        <v/>
      </c>
      <c r="H76" s="88" t="str">
        <f t="shared" si="4"/>
        <v/>
      </c>
      <c r="I76" s="64" t="str">
        <f t="shared" si="5"/>
        <v/>
      </c>
    </row>
    <row r="77" spans="1:9" x14ac:dyDescent="0.2">
      <c r="A77" s="64"/>
      <c r="B77" s="64"/>
      <c r="C77" s="64"/>
      <c r="D77" s="64"/>
      <c r="E77" s="88"/>
      <c r="F77" s="88"/>
      <c r="G77" s="93" t="str">
        <f t="shared" si="6"/>
        <v/>
      </c>
      <c r="H77" s="88" t="str">
        <f t="shared" si="4"/>
        <v/>
      </c>
      <c r="I77" s="64" t="str">
        <f t="shared" si="5"/>
        <v/>
      </c>
    </row>
    <row r="78" spans="1:9" x14ac:dyDescent="0.2">
      <c r="A78" s="64"/>
      <c r="B78" s="64"/>
      <c r="C78" s="64"/>
      <c r="D78" s="64"/>
      <c r="E78" s="88"/>
      <c r="F78" s="88"/>
      <c r="G78" s="93" t="str">
        <f t="shared" si="6"/>
        <v/>
      </c>
      <c r="H78" s="88" t="str">
        <f t="shared" si="4"/>
        <v/>
      </c>
      <c r="I78" s="64" t="str">
        <f t="shared" si="5"/>
        <v/>
      </c>
    </row>
    <row r="79" spans="1:9" x14ac:dyDescent="0.2">
      <c r="A79" s="64"/>
      <c r="B79" s="64"/>
      <c r="C79" s="64"/>
      <c r="D79" s="64"/>
      <c r="E79" s="88"/>
      <c r="F79" s="88"/>
      <c r="G79" s="93" t="str">
        <f t="shared" si="6"/>
        <v/>
      </c>
      <c r="H79" s="88" t="str">
        <f t="shared" si="4"/>
        <v/>
      </c>
      <c r="I79" s="64" t="str">
        <f t="shared" si="5"/>
        <v/>
      </c>
    </row>
    <row r="80" spans="1:9" x14ac:dyDescent="0.2">
      <c r="A80" s="64"/>
      <c r="B80" s="64"/>
      <c r="C80" s="64"/>
      <c r="D80" s="64"/>
      <c r="E80" s="88"/>
      <c r="F80" s="88"/>
      <c r="G80" s="93" t="str">
        <f t="shared" si="6"/>
        <v/>
      </c>
      <c r="H80" s="88" t="str">
        <f t="shared" si="4"/>
        <v/>
      </c>
      <c r="I80" s="64" t="str">
        <f t="shared" si="5"/>
        <v/>
      </c>
    </row>
    <row r="81" spans="1:9" x14ac:dyDescent="0.2">
      <c r="A81" s="64"/>
      <c r="B81" s="64"/>
      <c r="C81" s="64"/>
      <c r="D81" s="64"/>
      <c r="E81" s="88"/>
      <c r="F81" s="88"/>
      <c r="G81" s="93" t="str">
        <f t="shared" si="6"/>
        <v/>
      </c>
      <c r="H81" s="88" t="str">
        <f t="shared" si="4"/>
        <v/>
      </c>
      <c r="I81" s="64" t="str">
        <f t="shared" si="5"/>
        <v/>
      </c>
    </row>
    <row r="82" spans="1:9" x14ac:dyDescent="0.2">
      <c r="A82" s="64"/>
      <c r="B82" s="64"/>
      <c r="C82" s="64"/>
      <c r="D82" s="64"/>
      <c r="E82" s="88"/>
      <c r="F82" s="88"/>
      <c r="G82" s="93" t="str">
        <f t="shared" si="6"/>
        <v/>
      </c>
      <c r="H82" s="88" t="str">
        <f t="shared" si="4"/>
        <v/>
      </c>
      <c r="I82" s="64" t="str">
        <f t="shared" si="5"/>
        <v/>
      </c>
    </row>
    <row r="83" spans="1:9" x14ac:dyDescent="0.2">
      <c r="A83" s="64"/>
      <c r="B83" s="64"/>
      <c r="C83" s="64"/>
      <c r="D83" s="64"/>
      <c r="E83" s="88"/>
      <c r="F83" s="88"/>
      <c r="G83" s="93" t="str">
        <f t="shared" si="6"/>
        <v/>
      </c>
      <c r="H83" s="88" t="str">
        <f t="shared" si="4"/>
        <v/>
      </c>
      <c r="I83" s="64" t="str">
        <f t="shared" si="5"/>
        <v/>
      </c>
    </row>
    <row r="84" spans="1:9" x14ac:dyDescent="0.2">
      <c r="A84" s="64"/>
      <c r="B84" s="64"/>
      <c r="C84" s="64"/>
      <c r="D84" s="64"/>
      <c r="E84" s="88"/>
      <c r="F84" s="88"/>
      <c r="G84" s="93" t="str">
        <f t="shared" si="6"/>
        <v/>
      </c>
      <c r="H84" s="88" t="str">
        <f t="shared" si="4"/>
        <v/>
      </c>
      <c r="I84" s="64" t="str">
        <f t="shared" si="5"/>
        <v/>
      </c>
    </row>
    <row r="85" spans="1:9" x14ac:dyDescent="0.2">
      <c r="A85" s="64"/>
      <c r="B85" s="64"/>
      <c r="C85" s="64"/>
      <c r="D85" s="64"/>
      <c r="E85" s="88"/>
      <c r="F85" s="88"/>
      <c r="G85" s="93" t="str">
        <f t="shared" si="6"/>
        <v/>
      </c>
      <c r="H85" s="88" t="str">
        <f t="shared" si="4"/>
        <v/>
      </c>
      <c r="I85" s="64" t="str">
        <f t="shared" si="5"/>
        <v/>
      </c>
    </row>
    <row r="86" spans="1:9" x14ac:dyDescent="0.2">
      <c r="A86" s="64"/>
      <c r="B86" s="64"/>
      <c r="C86" s="64"/>
      <c r="D86" s="64"/>
      <c r="E86" s="88"/>
      <c r="F86" s="88"/>
      <c r="G86" s="93" t="str">
        <f t="shared" si="6"/>
        <v/>
      </c>
      <c r="H86" s="88" t="str">
        <f t="shared" si="4"/>
        <v/>
      </c>
      <c r="I86" s="64" t="str">
        <f t="shared" si="5"/>
        <v/>
      </c>
    </row>
    <row r="87" spans="1:9" x14ac:dyDescent="0.2">
      <c r="A87" s="64"/>
      <c r="B87" s="64"/>
      <c r="C87" s="64"/>
      <c r="D87" s="64"/>
      <c r="E87" s="88"/>
      <c r="F87" s="88"/>
      <c r="G87" s="93" t="str">
        <f t="shared" si="6"/>
        <v/>
      </c>
      <c r="H87" s="88" t="str">
        <f t="shared" si="4"/>
        <v/>
      </c>
      <c r="I87" s="64" t="str">
        <f t="shared" si="5"/>
        <v/>
      </c>
    </row>
    <row r="88" spans="1:9" x14ac:dyDescent="0.2">
      <c r="A88" s="64"/>
      <c r="B88" s="64"/>
      <c r="C88" s="64"/>
      <c r="D88" s="64"/>
      <c r="E88" s="88"/>
      <c r="F88" s="88"/>
      <c r="G88" s="93" t="str">
        <f t="shared" si="6"/>
        <v/>
      </c>
      <c r="H88" s="88" t="str">
        <f t="shared" si="4"/>
        <v/>
      </c>
      <c r="I88" s="64" t="str">
        <f t="shared" si="5"/>
        <v/>
      </c>
    </row>
    <row r="89" spans="1:9" x14ac:dyDescent="0.2">
      <c r="A89" s="64"/>
      <c r="B89" s="64"/>
      <c r="C89" s="64"/>
      <c r="D89" s="64"/>
      <c r="E89" s="88"/>
      <c r="F89" s="88"/>
      <c r="G89" s="93" t="str">
        <f t="shared" si="6"/>
        <v/>
      </c>
      <c r="H89" s="88" t="str">
        <f t="shared" si="4"/>
        <v/>
      </c>
      <c r="I89" s="64" t="str">
        <f t="shared" si="5"/>
        <v/>
      </c>
    </row>
    <row r="90" spans="1:9" x14ac:dyDescent="0.2">
      <c r="A90" s="64"/>
      <c r="B90" s="64"/>
      <c r="C90" s="64"/>
      <c r="D90" s="64"/>
      <c r="E90" s="88"/>
      <c r="F90" s="88"/>
      <c r="G90" s="93" t="str">
        <f t="shared" si="6"/>
        <v/>
      </c>
      <c r="H90" s="88" t="str">
        <f t="shared" si="4"/>
        <v/>
      </c>
      <c r="I90" s="64" t="str">
        <f t="shared" si="5"/>
        <v/>
      </c>
    </row>
    <row r="91" spans="1:9" x14ac:dyDescent="0.2">
      <c r="A91" s="64"/>
      <c r="B91" s="64"/>
      <c r="C91" s="64"/>
      <c r="D91" s="64"/>
      <c r="E91" s="88"/>
      <c r="F91" s="88"/>
      <c r="G91" s="93" t="str">
        <f t="shared" si="6"/>
        <v/>
      </c>
      <c r="H91" s="88" t="str">
        <f t="shared" si="4"/>
        <v/>
      </c>
      <c r="I91" s="64" t="str">
        <f t="shared" si="5"/>
        <v/>
      </c>
    </row>
    <row r="92" spans="1:9" x14ac:dyDescent="0.2">
      <c r="A92" s="64"/>
      <c r="B92" s="64"/>
      <c r="C92" s="64"/>
      <c r="D92" s="64"/>
      <c r="E92" s="88"/>
      <c r="F92" s="88"/>
      <c r="G92" s="93" t="str">
        <f t="shared" si="6"/>
        <v/>
      </c>
      <c r="H92" s="88" t="str">
        <f t="shared" si="4"/>
        <v/>
      </c>
      <c r="I92" s="64" t="str">
        <f t="shared" si="5"/>
        <v/>
      </c>
    </row>
    <row r="93" spans="1:9" x14ac:dyDescent="0.2">
      <c r="A93" s="64"/>
      <c r="B93" s="64"/>
      <c r="C93" s="64"/>
      <c r="D93" s="64"/>
      <c r="E93" s="88"/>
      <c r="F93" s="88"/>
      <c r="G93" s="93" t="str">
        <f t="shared" si="6"/>
        <v/>
      </c>
      <c r="H93" s="88" t="str">
        <f t="shared" si="4"/>
        <v/>
      </c>
      <c r="I93" s="64" t="str">
        <f t="shared" si="5"/>
        <v/>
      </c>
    </row>
    <row r="94" spans="1:9" x14ac:dyDescent="0.2">
      <c r="A94" s="64"/>
      <c r="B94" s="64"/>
      <c r="C94" s="64"/>
      <c r="D94" s="64"/>
      <c r="E94" s="88"/>
      <c r="F94" s="88"/>
      <c r="G94" s="93" t="str">
        <f t="shared" si="6"/>
        <v/>
      </c>
      <c r="H94" s="88" t="str">
        <f t="shared" si="4"/>
        <v/>
      </c>
      <c r="I94" s="64" t="str">
        <f t="shared" si="5"/>
        <v/>
      </c>
    </row>
    <row r="95" spans="1:9" x14ac:dyDescent="0.2">
      <c r="A95" s="64"/>
      <c r="B95" s="64"/>
      <c r="C95" s="64"/>
      <c r="D95" s="64"/>
      <c r="E95" s="88"/>
      <c r="F95" s="88"/>
      <c r="G95" s="93" t="str">
        <f t="shared" si="6"/>
        <v/>
      </c>
      <c r="H95" s="88" t="str">
        <f t="shared" si="4"/>
        <v/>
      </c>
      <c r="I95" s="64" t="str">
        <f t="shared" si="5"/>
        <v/>
      </c>
    </row>
    <row r="96" spans="1:9" x14ac:dyDescent="0.2">
      <c r="A96" s="64"/>
      <c r="B96" s="64"/>
      <c r="C96" s="64"/>
      <c r="D96" s="64"/>
      <c r="E96" s="88"/>
      <c r="F96" s="88"/>
      <c r="G96" s="93" t="str">
        <f t="shared" si="6"/>
        <v/>
      </c>
      <c r="H96" s="88" t="str">
        <f t="shared" si="4"/>
        <v/>
      </c>
      <c r="I96" s="64" t="str">
        <f t="shared" si="5"/>
        <v/>
      </c>
    </row>
    <row r="97" spans="1:9" x14ac:dyDescent="0.2">
      <c r="A97" s="64"/>
      <c r="B97" s="64"/>
      <c r="C97" s="64"/>
      <c r="D97" s="64"/>
      <c r="E97" s="88"/>
      <c r="F97" s="88"/>
      <c r="G97" s="93" t="str">
        <f t="shared" si="6"/>
        <v/>
      </c>
      <c r="H97" s="88" t="str">
        <f t="shared" si="4"/>
        <v/>
      </c>
      <c r="I97" s="64" t="str">
        <f t="shared" si="5"/>
        <v/>
      </c>
    </row>
    <row r="98" spans="1:9" x14ac:dyDescent="0.2">
      <c r="A98" s="64"/>
      <c r="B98" s="64"/>
      <c r="C98" s="64"/>
      <c r="D98" s="64"/>
      <c r="E98" s="88"/>
      <c r="F98" s="88"/>
      <c r="G98" s="93" t="str">
        <f t="shared" si="6"/>
        <v/>
      </c>
      <c r="H98" s="88" t="str">
        <f t="shared" si="4"/>
        <v/>
      </c>
      <c r="I98" s="64" t="str">
        <f t="shared" si="5"/>
        <v/>
      </c>
    </row>
    <row r="99" spans="1:9" x14ac:dyDescent="0.2">
      <c r="A99" s="64"/>
      <c r="B99" s="64"/>
      <c r="C99" s="64"/>
      <c r="D99" s="64"/>
      <c r="E99" s="88"/>
      <c r="F99" s="88"/>
      <c r="G99" s="93" t="str">
        <f t="shared" si="6"/>
        <v/>
      </c>
      <c r="H99" s="88" t="str">
        <f t="shared" si="4"/>
        <v/>
      </c>
      <c r="I99" s="64" t="str">
        <f t="shared" si="5"/>
        <v/>
      </c>
    </row>
    <row r="100" spans="1:9" x14ac:dyDescent="0.2">
      <c r="A100" s="64"/>
      <c r="B100" s="64"/>
      <c r="C100" s="64"/>
      <c r="D100" s="64"/>
      <c r="E100" s="88"/>
      <c r="F100" s="88"/>
      <c r="G100" s="93" t="str">
        <f t="shared" si="6"/>
        <v/>
      </c>
      <c r="H100" s="88" t="str">
        <f t="shared" si="4"/>
        <v/>
      </c>
      <c r="I100" s="64" t="str">
        <f t="shared" si="5"/>
        <v/>
      </c>
    </row>
    <row r="101" spans="1:9" x14ac:dyDescent="0.2">
      <c r="A101" s="64"/>
      <c r="B101" s="64"/>
      <c r="C101" s="64"/>
      <c r="D101" s="64"/>
      <c r="E101" s="88"/>
      <c r="F101" s="88"/>
      <c r="G101" s="93" t="str">
        <f t="shared" si="6"/>
        <v/>
      </c>
      <c r="H101" s="88" t="str">
        <f t="shared" si="4"/>
        <v/>
      </c>
      <c r="I101" s="64" t="str">
        <f t="shared" si="5"/>
        <v/>
      </c>
    </row>
    <row r="102" spans="1:9" x14ac:dyDescent="0.2">
      <c r="A102" s="64"/>
      <c r="B102" s="64"/>
      <c r="C102" s="64"/>
      <c r="D102" s="64"/>
      <c r="E102" s="88"/>
      <c r="F102" s="88"/>
      <c r="G102" s="93" t="str">
        <f t="shared" si="6"/>
        <v/>
      </c>
      <c r="H102" s="88" t="str">
        <f t="shared" si="4"/>
        <v/>
      </c>
      <c r="I102" s="64" t="str">
        <f t="shared" si="5"/>
        <v/>
      </c>
    </row>
    <row r="103" spans="1:9" x14ac:dyDescent="0.2">
      <c r="A103" s="64"/>
      <c r="B103" s="64"/>
      <c r="C103" s="64"/>
      <c r="D103" s="64"/>
      <c r="E103" s="88"/>
      <c r="F103" s="88"/>
      <c r="G103" s="93" t="str">
        <f t="shared" si="6"/>
        <v/>
      </c>
      <c r="H103" s="88" t="str">
        <f t="shared" ref="H103:H166" si="7">IF(OR(AND(B103="", C103="", D103="", F103=""), F103=""), "", B$1/G103)</f>
        <v/>
      </c>
      <c r="I103" s="64" t="str">
        <f t="shared" ref="I103:I166" si="8">IF(OR(AND(B103="", C103="", D103="", F103=""), F103=""), "", IF(H103&lt;=$D$1, "Y", ""))</f>
        <v/>
      </c>
    </row>
    <row r="104" spans="1:9" x14ac:dyDescent="0.2">
      <c r="A104" s="64"/>
      <c r="B104" s="64"/>
      <c r="C104" s="64"/>
      <c r="D104" s="64"/>
      <c r="E104" s="88"/>
      <c r="F104" s="88"/>
      <c r="G104" s="93" t="str">
        <f t="shared" si="6"/>
        <v/>
      </c>
      <c r="H104" s="88" t="str">
        <f t="shared" si="7"/>
        <v/>
      </c>
      <c r="I104" s="64" t="str">
        <f t="shared" si="8"/>
        <v/>
      </c>
    </row>
    <row r="105" spans="1:9" x14ac:dyDescent="0.2">
      <c r="A105" s="64"/>
      <c r="B105" s="64"/>
      <c r="C105" s="64"/>
      <c r="D105" s="64"/>
      <c r="E105" s="88"/>
      <c r="F105" s="88"/>
      <c r="G105" s="93" t="str">
        <f t="shared" si="6"/>
        <v/>
      </c>
      <c r="H105" s="88" t="str">
        <f t="shared" si="7"/>
        <v/>
      </c>
      <c r="I105" s="64" t="str">
        <f t="shared" si="8"/>
        <v/>
      </c>
    </row>
    <row r="106" spans="1:9" x14ac:dyDescent="0.2">
      <c r="A106" s="64"/>
      <c r="B106" s="64"/>
      <c r="C106" s="64"/>
      <c r="D106" s="64"/>
      <c r="E106" s="88"/>
      <c r="F106" s="88"/>
      <c r="G106" s="93" t="str">
        <f t="shared" si="6"/>
        <v/>
      </c>
      <c r="H106" s="88" t="str">
        <f t="shared" si="7"/>
        <v/>
      </c>
      <c r="I106" s="64" t="str">
        <f t="shared" si="8"/>
        <v/>
      </c>
    </row>
    <row r="107" spans="1:9" x14ac:dyDescent="0.2">
      <c r="A107" s="64"/>
      <c r="B107" s="64"/>
      <c r="C107" s="64"/>
      <c r="D107" s="64"/>
      <c r="E107" s="88"/>
      <c r="F107" s="88"/>
      <c r="G107" s="93" t="str">
        <f t="shared" si="6"/>
        <v/>
      </c>
      <c r="H107" s="88" t="str">
        <f t="shared" si="7"/>
        <v/>
      </c>
      <c r="I107" s="64" t="str">
        <f t="shared" si="8"/>
        <v/>
      </c>
    </row>
    <row r="108" spans="1:9" x14ac:dyDescent="0.2">
      <c r="A108" s="64"/>
      <c r="B108" s="64"/>
      <c r="C108" s="64"/>
      <c r="D108" s="64"/>
      <c r="E108" s="88"/>
      <c r="F108" s="88"/>
      <c r="G108" s="93" t="str">
        <f t="shared" si="6"/>
        <v/>
      </c>
      <c r="H108" s="88" t="str">
        <f t="shared" si="7"/>
        <v/>
      </c>
      <c r="I108" s="64" t="str">
        <f t="shared" si="8"/>
        <v/>
      </c>
    </row>
    <row r="109" spans="1:9" x14ac:dyDescent="0.2">
      <c r="A109" s="64"/>
      <c r="B109" s="64"/>
      <c r="C109" s="64"/>
      <c r="D109" s="64"/>
      <c r="E109" s="88"/>
      <c r="F109" s="88"/>
      <c r="G109" s="93" t="str">
        <f t="shared" si="6"/>
        <v/>
      </c>
      <c r="H109" s="88" t="str">
        <f t="shared" si="7"/>
        <v/>
      </c>
      <c r="I109" s="64" t="str">
        <f t="shared" si="8"/>
        <v/>
      </c>
    </row>
    <row r="110" spans="1:9" x14ac:dyDescent="0.2">
      <c r="A110" s="64"/>
      <c r="B110" s="64"/>
      <c r="C110" s="64"/>
      <c r="D110" s="64"/>
      <c r="E110" s="88"/>
      <c r="F110" s="88"/>
      <c r="G110" s="93" t="str">
        <f t="shared" si="6"/>
        <v/>
      </c>
      <c r="H110" s="88" t="str">
        <f t="shared" si="7"/>
        <v/>
      </c>
      <c r="I110" s="64" t="str">
        <f t="shared" si="8"/>
        <v/>
      </c>
    </row>
    <row r="111" spans="1:9" x14ac:dyDescent="0.2">
      <c r="A111" s="64"/>
      <c r="B111" s="64"/>
      <c r="C111" s="64"/>
      <c r="D111" s="64"/>
      <c r="E111" s="88"/>
      <c r="F111" s="88"/>
      <c r="G111" s="93" t="str">
        <f t="shared" si="6"/>
        <v/>
      </c>
      <c r="H111" s="88" t="str">
        <f t="shared" si="7"/>
        <v/>
      </c>
      <c r="I111" s="64" t="str">
        <f t="shared" si="8"/>
        <v/>
      </c>
    </row>
    <row r="112" spans="1:9" x14ac:dyDescent="0.2">
      <c r="A112" s="64"/>
      <c r="B112" s="64"/>
      <c r="C112" s="64"/>
      <c r="D112" s="64"/>
      <c r="E112" s="88"/>
      <c r="F112" s="88"/>
      <c r="G112" s="93" t="str">
        <f t="shared" si="6"/>
        <v/>
      </c>
      <c r="H112" s="88" t="str">
        <f t="shared" si="7"/>
        <v/>
      </c>
      <c r="I112" s="64" t="str">
        <f t="shared" si="8"/>
        <v/>
      </c>
    </row>
    <row r="113" spans="1:9" x14ac:dyDescent="0.2">
      <c r="A113" s="64"/>
      <c r="B113" s="64"/>
      <c r="C113" s="64"/>
      <c r="D113" s="64"/>
      <c r="E113" s="88"/>
      <c r="F113" s="88"/>
      <c r="G113" s="93" t="str">
        <f t="shared" si="6"/>
        <v/>
      </c>
      <c r="H113" s="88" t="str">
        <f t="shared" si="7"/>
        <v/>
      </c>
      <c r="I113" s="64" t="str">
        <f t="shared" si="8"/>
        <v/>
      </c>
    </row>
    <row r="114" spans="1:9" x14ac:dyDescent="0.2">
      <c r="A114" s="64"/>
      <c r="B114" s="64"/>
      <c r="C114" s="64"/>
      <c r="D114" s="64"/>
      <c r="E114" s="88"/>
      <c r="F114" s="88"/>
      <c r="G114" s="93" t="str">
        <f t="shared" si="6"/>
        <v/>
      </c>
      <c r="H114" s="88" t="str">
        <f t="shared" si="7"/>
        <v/>
      </c>
      <c r="I114" s="64" t="str">
        <f t="shared" si="8"/>
        <v/>
      </c>
    </row>
    <row r="115" spans="1:9" x14ac:dyDescent="0.2">
      <c r="A115" s="64"/>
      <c r="B115" s="64"/>
      <c r="C115" s="64"/>
      <c r="D115" s="64"/>
      <c r="E115" s="88"/>
      <c r="F115" s="88"/>
      <c r="G115" s="93" t="str">
        <f t="shared" si="6"/>
        <v/>
      </c>
      <c r="H115" s="88" t="str">
        <f t="shared" si="7"/>
        <v/>
      </c>
      <c r="I115" s="64" t="str">
        <f t="shared" si="8"/>
        <v/>
      </c>
    </row>
    <row r="116" spans="1:9" x14ac:dyDescent="0.2">
      <c r="A116" s="64"/>
      <c r="B116" s="64"/>
      <c r="C116" s="64"/>
      <c r="D116" s="64"/>
      <c r="E116" s="88"/>
      <c r="F116" s="88"/>
      <c r="G116" s="93" t="str">
        <f t="shared" si="6"/>
        <v/>
      </c>
      <c r="H116" s="88" t="str">
        <f t="shared" si="7"/>
        <v/>
      </c>
      <c r="I116" s="64" t="str">
        <f t="shared" si="8"/>
        <v/>
      </c>
    </row>
    <row r="117" spans="1:9" x14ac:dyDescent="0.2">
      <c r="A117" s="64"/>
      <c r="B117" s="64"/>
      <c r="C117" s="64"/>
      <c r="D117" s="64"/>
      <c r="E117" s="88"/>
      <c r="F117" s="88"/>
      <c r="G117" s="93" t="str">
        <f t="shared" si="6"/>
        <v/>
      </c>
      <c r="H117" s="88" t="str">
        <f t="shared" si="7"/>
        <v/>
      </c>
      <c r="I117" s="64" t="str">
        <f t="shared" si="8"/>
        <v/>
      </c>
    </row>
    <row r="118" spans="1:9" x14ac:dyDescent="0.2">
      <c r="A118" s="64"/>
      <c r="B118" s="64"/>
      <c r="C118" s="64"/>
      <c r="D118" s="64"/>
      <c r="E118" s="88"/>
      <c r="F118" s="88"/>
      <c r="G118" s="93" t="str">
        <f t="shared" si="6"/>
        <v/>
      </c>
      <c r="H118" s="88" t="str">
        <f t="shared" si="7"/>
        <v/>
      </c>
      <c r="I118" s="64" t="str">
        <f t="shared" si="8"/>
        <v/>
      </c>
    </row>
    <row r="119" spans="1:9" x14ac:dyDescent="0.2">
      <c r="A119" s="64"/>
      <c r="B119" s="64"/>
      <c r="C119" s="64"/>
      <c r="D119" s="64"/>
      <c r="E119" s="88"/>
      <c r="F119" s="88"/>
      <c r="G119" s="93" t="str">
        <f t="shared" si="6"/>
        <v/>
      </c>
      <c r="H119" s="88" t="str">
        <f t="shared" si="7"/>
        <v/>
      </c>
      <c r="I119" s="64" t="str">
        <f t="shared" si="8"/>
        <v/>
      </c>
    </row>
    <row r="120" spans="1:9" x14ac:dyDescent="0.2">
      <c r="A120" s="64"/>
      <c r="B120" s="64"/>
      <c r="C120" s="64"/>
      <c r="D120" s="64"/>
      <c r="E120" s="88"/>
      <c r="F120" s="88"/>
      <c r="G120" s="93" t="str">
        <f t="shared" si="6"/>
        <v/>
      </c>
      <c r="H120" s="88" t="str">
        <f t="shared" si="7"/>
        <v/>
      </c>
      <c r="I120" s="64" t="str">
        <f t="shared" si="8"/>
        <v/>
      </c>
    </row>
    <row r="121" spans="1:9" x14ac:dyDescent="0.2">
      <c r="A121" s="64"/>
      <c r="B121" s="64"/>
      <c r="C121" s="64"/>
      <c r="D121" s="64"/>
      <c r="E121" s="88"/>
      <c r="F121" s="88"/>
      <c r="G121" s="93" t="str">
        <f t="shared" si="6"/>
        <v/>
      </c>
      <c r="H121" s="88" t="str">
        <f t="shared" si="7"/>
        <v/>
      </c>
      <c r="I121" s="64" t="str">
        <f t="shared" si="8"/>
        <v/>
      </c>
    </row>
    <row r="122" spans="1:9" x14ac:dyDescent="0.2">
      <c r="A122" s="64"/>
      <c r="B122" s="64"/>
      <c r="C122" s="64"/>
      <c r="D122" s="64"/>
      <c r="E122" s="88"/>
      <c r="F122" s="88"/>
      <c r="G122" s="93" t="str">
        <f t="shared" si="6"/>
        <v/>
      </c>
      <c r="H122" s="88" t="str">
        <f t="shared" si="7"/>
        <v/>
      </c>
      <c r="I122" s="64" t="str">
        <f t="shared" si="8"/>
        <v/>
      </c>
    </row>
    <row r="123" spans="1:9" x14ac:dyDescent="0.2">
      <c r="A123" s="64"/>
      <c r="B123" s="64"/>
      <c r="C123" s="64"/>
      <c r="D123" s="64"/>
      <c r="E123" s="88"/>
      <c r="F123" s="88"/>
      <c r="G123" s="93" t="str">
        <f t="shared" si="6"/>
        <v/>
      </c>
      <c r="H123" s="88" t="str">
        <f t="shared" si="7"/>
        <v/>
      </c>
      <c r="I123" s="64" t="str">
        <f t="shared" si="8"/>
        <v/>
      </c>
    </row>
    <row r="124" spans="1:9" x14ac:dyDescent="0.2">
      <c r="A124" s="64"/>
      <c r="B124" s="64"/>
      <c r="C124" s="64"/>
      <c r="D124" s="64"/>
      <c r="E124" s="88"/>
      <c r="F124" s="88"/>
      <c r="G124" s="93" t="str">
        <f t="shared" si="6"/>
        <v/>
      </c>
      <c r="H124" s="88" t="str">
        <f t="shared" si="7"/>
        <v/>
      </c>
      <c r="I124" s="64" t="str">
        <f t="shared" si="8"/>
        <v/>
      </c>
    </row>
    <row r="125" spans="1:9" x14ac:dyDescent="0.2">
      <c r="A125" s="64"/>
      <c r="B125" s="64"/>
      <c r="C125" s="64"/>
      <c r="D125" s="64"/>
      <c r="E125" s="88"/>
      <c r="F125" s="88"/>
      <c r="G125" s="93" t="str">
        <f t="shared" si="6"/>
        <v/>
      </c>
      <c r="H125" s="88" t="str">
        <f t="shared" si="7"/>
        <v/>
      </c>
      <c r="I125" s="64" t="str">
        <f t="shared" si="8"/>
        <v/>
      </c>
    </row>
    <row r="126" spans="1:9" x14ac:dyDescent="0.2">
      <c r="A126" s="64"/>
      <c r="B126" s="64"/>
      <c r="C126" s="64"/>
      <c r="D126" s="64"/>
      <c r="E126" s="88"/>
      <c r="F126" s="88"/>
      <c r="G126" s="93" t="str">
        <f t="shared" si="6"/>
        <v/>
      </c>
      <c r="H126" s="88" t="str">
        <f t="shared" si="7"/>
        <v/>
      </c>
      <c r="I126" s="64" t="str">
        <f t="shared" si="8"/>
        <v/>
      </c>
    </row>
    <row r="127" spans="1:9" x14ac:dyDescent="0.2">
      <c r="A127" s="64"/>
      <c r="B127" s="64"/>
      <c r="C127" s="64"/>
      <c r="D127" s="64"/>
      <c r="E127" s="88"/>
      <c r="F127" s="88"/>
      <c r="G127" s="93" t="str">
        <f t="shared" si="6"/>
        <v/>
      </c>
      <c r="H127" s="88" t="str">
        <f t="shared" si="7"/>
        <v/>
      </c>
      <c r="I127" s="64" t="str">
        <f t="shared" si="8"/>
        <v/>
      </c>
    </row>
    <row r="128" spans="1:9" x14ac:dyDescent="0.2">
      <c r="A128" s="64"/>
      <c r="B128" s="64"/>
      <c r="C128" s="64"/>
      <c r="D128" s="64"/>
      <c r="E128" s="88"/>
      <c r="F128" s="88"/>
      <c r="G128" s="93" t="str">
        <f t="shared" si="6"/>
        <v/>
      </c>
      <c r="H128" s="88" t="str">
        <f t="shared" si="7"/>
        <v/>
      </c>
      <c r="I128" s="64" t="str">
        <f t="shared" si="8"/>
        <v/>
      </c>
    </row>
    <row r="129" spans="1:9" x14ac:dyDescent="0.2">
      <c r="A129" s="64"/>
      <c r="B129" s="64"/>
      <c r="C129" s="64"/>
      <c r="D129" s="64"/>
      <c r="E129" s="88"/>
      <c r="F129" s="88"/>
      <c r="G129" s="93" t="str">
        <f t="shared" si="6"/>
        <v/>
      </c>
      <c r="H129" s="88" t="str">
        <f t="shared" si="7"/>
        <v/>
      </c>
      <c r="I129" s="64" t="str">
        <f t="shared" si="8"/>
        <v/>
      </c>
    </row>
    <row r="130" spans="1:9" x14ac:dyDescent="0.2">
      <c r="A130" s="64"/>
      <c r="B130" s="64"/>
      <c r="C130" s="64"/>
      <c r="D130" s="64"/>
      <c r="E130" s="88"/>
      <c r="F130" s="88"/>
      <c r="G130" s="93" t="str">
        <f t="shared" si="6"/>
        <v/>
      </c>
      <c r="H130" s="88" t="str">
        <f t="shared" si="7"/>
        <v/>
      </c>
      <c r="I130" s="64" t="str">
        <f t="shared" si="8"/>
        <v/>
      </c>
    </row>
    <row r="131" spans="1:9" x14ac:dyDescent="0.2">
      <c r="A131" s="64"/>
      <c r="B131" s="64"/>
      <c r="C131" s="64"/>
      <c r="D131" s="64"/>
      <c r="E131" s="88"/>
      <c r="F131" s="88"/>
      <c r="G131" s="93" t="str">
        <f t="shared" si="6"/>
        <v/>
      </c>
      <c r="H131" s="88" t="str">
        <f t="shared" si="7"/>
        <v/>
      </c>
      <c r="I131" s="64" t="str">
        <f t="shared" si="8"/>
        <v/>
      </c>
    </row>
    <row r="132" spans="1:9" x14ac:dyDescent="0.2">
      <c r="A132" s="64"/>
      <c r="B132" s="64"/>
      <c r="C132" s="64"/>
      <c r="D132" s="64"/>
      <c r="E132" s="88"/>
      <c r="F132" s="88"/>
      <c r="G132" s="93" t="str">
        <f t="shared" si="6"/>
        <v/>
      </c>
      <c r="H132" s="88" t="str">
        <f t="shared" si="7"/>
        <v/>
      </c>
      <c r="I132" s="64" t="str">
        <f t="shared" si="8"/>
        <v/>
      </c>
    </row>
    <row r="133" spans="1:9" x14ac:dyDescent="0.2">
      <c r="A133" s="64"/>
      <c r="B133" s="64"/>
      <c r="C133" s="64"/>
      <c r="D133" s="64"/>
      <c r="E133" s="88"/>
      <c r="F133" s="88"/>
      <c r="G133" s="93" t="str">
        <f t="shared" si="6"/>
        <v/>
      </c>
      <c r="H133" s="88" t="str">
        <f t="shared" si="7"/>
        <v/>
      </c>
      <c r="I133" s="64" t="str">
        <f t="shared" si="8"/>
        <v/>
      </c>
    </row>
    <row r="134" spans="1:9" x14ac:dyDescent="0.2">
      <c r="A134" s="64"/>
      <c r="B134" s="64"/>
      <c r="C134" s="64"/>
      <c r="D134" s="64"/>
      <c r="E134" s="88"/>
      <c r="F134" s="88"/>
      <c r="G134" s="93" t="str">
        <f t="shared" ref="G134:G197" si="9">IF(OR(AND(B134="", C134="", D134="", F134= ""), F134=""), "", F134/10^6)</f>
        <v/>
      </c>
      <c r="H134" s="88" t="str">
        <f t="shared" si="7"/>
        <v/>
      </c>
      <c r="I134" s="64" t="str">
        <f t="shared" si="8"/>
        <v/>
      </c>
    </row>
    <row r="135" spans="1:9" x14ac:dyDescent="0.2">
      <c r="A135" s="64"/>
      <c r="B135" s="64"/>
      <c r="C135" s="64"/>
      <c r="D135" s="64"/>
      <c r="E135" s="88"/>
      <c r="F135" s="88"/>
      <c r="G135" s="93" t="str">
        <f t="shared" si="9"/>
        <v/>
      </c>
      <c r="H135" s="88" t="str">
        <f t="shared" si="7"/>
        <v/>
      </c>
      <c r="I135" s="64" t="str">
        <f t="shared" si="8"/>
        <v/>
      </c>
    </row>
    <row r="136" spans="1:9" x14ac:dyDescent="0.2">
      <c r="A136" s="64"/>
      <c r="B136" s="64"/>
      <c r="C136" s="64"/>
      <c r="D136" s="64"/>
      <c r="E136" s="88"/>
      <c r="F136" s="88"/>
      <c r="G136" s="93" t="str">
        <f t="shared" si="9"/>
        <v/>
      </c>
      <c r="H136" s="88" t="str">
        <f t="shared" si="7"/>
        <v/>
      </c>
      <c r="I136" s="64" t="str">
        <f t="shared" si="8"/>
        <v/>
      </c>
    </row>
    <row r="137" spans="1:9" x14ac:dyDescent="0.2">
      <c r="A137" s="64"/>
      <c r="B137" s="64"/>
      <c r="C137" s="64"/>
      <c r="D137" s="64"/>
      <c r="E137" s="88"/>
      <c r="F137" s="88"/>
      <c r="G137" s="93" t="str">
        <f t="shared" si="9"/>
        <v/>
      </c>
      <c r="H137" s="88" t="str">
        <f t="shared" si="7"/>
        <v/>
      </c>
      <c r="I137" s="64" t="str">
        <f t="shared" si="8"/>
        <v/>
      </c>
    </row>
    <row r="138" spans="1:9" x14ac:dyDescent="0.2">
      <c r="A138" s="64"/>
      <c r="B138" s="64"/>
      <c r="C138" s="64"/>
      <c r="D138" s="64"/>
      <c r="E138" s="88"/>
      <c r="F138" s="88"/>
      <c r="G138" s="93" t="str">
        <f t="shared" si="9"/>
        <v/>
      </c>
      <c r="H138" s="88" t="str">
        <f t="shared" si="7"/>
        <v/>
      </c>
      <c r="I138" s="64" t="str">
        <f t="shared" si="8"/>
        <v/>
      </c>
    </row>
    <row r="139" spans="1:9" x14ac:dyDescent="0.2">
      <c r="A139" s="64"/>
      <c r="B139" s="64"/>
      <c r="C139" s="64"/>
      <c r="D139" s="64"/>
      <c r="E139" s="88"/>
      <c r="F139" s="88"/>
      <c r="G139" s="93" t="str">
        <f t="shared" si="9"/>
        <v/>
      </c>
      <c r="H139" s="88" t="str">
        <f t="shared" si="7"/>
        <v/>
      </c>
      <c r="I139" s="64" t="str">
        <f t="shared" si="8"/>
        <v/>
      </c>
    </row>
    <row r="140" spans="1:9" x14ac:dyDescent="0.2">
      <c r="A140" s="64"/>
      <c r="B140" s="64"/>
      <c r="C140" s="64"/>
      <c r="D140" s="64"/>
      <c r="E140" s="88"/>
      <c r="F140" s="88"/>
      <c r="G140" s="93" t="str">
        <f t="shared" si="9"/>
        <v/>
      </c>
      <c r="H140" s="88" t="str">
        <f t="shared" si="7"/>
        <v/>
      </c>
      <c r="I140" s="64" t="str">
        <f t="shared" si="8"/>
        <v/>
      </c>
    </row>
    <row r="141" spans="1:9" x14ac:dyDescent="0.2">
      <c r="A141" s="64"/>
      <c r="B141" s="64"/>
      <c r="C141" s="64"/>
      <c r="D141" s="64"/>
      <c r="E141" s="88"/>
      <c r="F141" s="88"/>
      <c r="G141" s="93" t="str">
        <f t="shared" si="9"/>
        <v/>
      </c>
      <c r="H141" s="88" t="str">
        <f t="shared" si="7"/>
        <v/>
      </c>
      <c r="I141" s="64" t="str">
        <f t="shared" si="8"/>
        <v/>
      </c>
    </row>
    <row r="142" spans="1:9" x14ac:dyDescent="0.2">
      <c r="A142" s="64"/>
      <c r="B142" s="64"/>
      <c r="C142" s="64"/>
      <c r="D142" s="64"/>
      <c r="E142" s="88"/>
      <c r="F142" s="88"/>
      <c r="G142" s="93" t="str">
        <f t="shared" si="9"/>
        <v/>
      </c>
      <c r="H142" s="88" t="str">
        <f t="shared" si="7"/>
        <v/>
      </c>
      <c r="I142" s="64" t="str">
        <f t="shared" si="8"/>
        <v/>
      </c>
    </row>
    <row r="143" spans="1:9" x14ac:dyDescent="0.2">
      <c r="A143" s="64"/>
      <c r="B143" s="64"/>
      <c r="C143" s="64"/>
      <c r="D143" s="64"/>
      <c r="E143" s="88"/>
      <c r="F143" s="88"/>
      <c r="G143" s="93" t="str">
        <f t="shared" si="9"/>
        <v/>
      </c>
      <c r="H143" s="88" t="str">
        <f t="shared" si="7"/>
        <v/>
      </c>
      <c r="I143" s="64" t="str">
        <f t="shared" si="8"/>
        <v/>
      </c>
    </row>
    <row r="144" spans="1:9" x14ac:dyDescent="0.2">
      <c r="A144" s="64"/>
      <c r="B144" s="64"/>
      <c r="C144" s="64"/>
      <c r="D144" s="64"/>
      <c r="E144" s="88"/>
      <c r="F144" s="88"/>
      <c r="G144" s="93" t="str">
        <f t="shared" si="9"/>
        <v/>
      </c>
      <c r="H144" s="88" t="str">
        <f t="shared" si="7"/>
        <v/>
      </c>
      <c r="I144" s="64" t="str">
        <f t="shared" si="8"/>
        <v/>
      </c>
    </row>
    <row r="145" spans="1:9" x14ac:dyDescent="0.2">
      <c r="A145" s="64"/>
      <c r="B145" s="64"/>
      <c r="C145" s="64"/>
      <c r="D145" s="64"/>
      <c r="E145" s="88"/>
      <c r="F145" s="88"/>
      <c r="G145" s="93" t="str">
        <f t="shared" si="9"/>
        <v/>
      </c>
      <c r="H145" s="88" t="str">
        <f t="shared" si="7"/>
        <v/>
      </c>
      <c r="I145" s="64" t="str">
        <f t="shared" si="8"/>
        <v/>
      </c>
    </row>
    <row r="146" spans="1:9" x14ac:dyDescent="0.2">
      <c r="A146" s="64"/>
      <c r="B146" s="64"/>
      <c r="C146" s="64"/>
      <c r="D146" s="64"/>
      <c r="E146" s="88"/>
      <c r="F146" s="88"/>
      <c r="G146" s="93" t="str">
        <f t="shared" si="9"/>
        <v/>
      </c>
      <c r="H146" s="88" t="str">
        <f t="shared" si="7"/>
        <v/>
      </c>
      <c r="I146" s="64" t="str">
        <f t="shared" si="8"/>
        <v/>
      </c>
    </row>
    <row r="147" spans="1:9" x14ac:dyDescent="0.2">
      <c r="A147" s="64"/>
      <c r="B147" s="64"/>
      <c r="C147" s="64"/>
      <c r="D147" s="64"/>
      <c r="E147" s="88"/>
      <c r="F147" s="88"/>
      <c r="G147" s="93" t="str">
        <f t="shared" si="9"/>
        <v/>
      </c>
      <c r="H147" s="88" t="str">
        <f t="shared" si="7"/>
        <v/>
      </c>
      <c r="I147" s="64" t="str">
        <f t="shared" si="8"/>
        <v/>
      </c>
    </row>
    <row r="148" spans="1:9" x14ac:dyDescent="0.2">
      <c r="A148" s="64"/>
      <c r="B148" s="64"/>
      <c r="C148" s="64"/>
      <c r="D148" s="64"/>
      <c r="E148" s="88"/>
      <c r="F148" s="88"/>
      <c r="G148" s="93" t="str">
        <f t="shared" si="9"/>
        <v/>
      </c>
      <c r="H148" s="88" t="str">
        <f t="shared" si="7"/>
        <v/>
      </c>
      <c r="I148" s="64" t="str">
        <f t="shared" si="8"/>
        <v/>
      </c>
    </row>
    <row r="149" spans="1:9" x14ac:dyDescent="0.2">
      <c r="A149" s="64"/>
      <c r="B149" s="64"/>
      <c r="C149" s="64"/>
      <c r="D149" s="64"/>
      <c r="E149" s="88"/>
      <c r="F149" s="88"/>
      <c r="G149" s="93" t="str">
        <f t="shared" si="9"/>
        <v/>
      </c>
      <c r="H149" s="88" t="str">
        <f t="shared" si="7"/>
        <v/>
      </c>
      <c r="I149" s="64" t="str">
        <f t="shared" si="8"/>
        <v/>
      </c>
    </row>
    <row r="150" spans="1:9" x14ac:dyDescent="0.2">
      <c r="A150" s="64"/>
      <c r="B150" s="64"/>
      <c r="C150" s="64"/>
      <c r="D150" s="64"/>
      <c r="E150" s="88"/>
      <c r="F150" s="88"/>
      <c r="G150" s="93" t="str">
        <f t="shared" si="9"/>
        <v/>
      </c>
      <c r="H150" s="88" t="str">
        <f t="shared" si="7"/>
        <v/>
      </c>
      <c r="I150" s="64" t="str">
        <f t="shared" si="8"/>
        <v/>
      </c>
    </row>
    <row r="151" spans="1:9" x14ac:dyDescent="0.2">
      <c r="A151" s="64"/>
      <c r="B151" s="64"/>
      <c r="C151" s="64"/>
      <c r="D151" s="64"/>
      <c r="E151" s="88"/>
      <c r="F151" s="88"/>
      <c r="G151" s="93" t="str">
        <f t="shared" si="9"/>
        <v/>
      </c>
      <c r="H151" s="88" t="str">
        <f t="shared" si="7"/>
        <v/>
      </c>
      <c r="I151" s="64" t="str">
        <f t="shared" si="8"/>
        <v/>
      </c>
    </row>
    <row r="152" spans="1:9" x14ac:dyDescent="0.2">
      <c r="A152" s="64"/>
      <c r="B152" s="64"/>
      <c r="C152" s="64"/>
      <c r="D152" s="64"/>
      <c r="E152" s="88"/>
      <c r="F152" s="88"/>
      <c r="G152" s="93" t="str">
        <f t="shared" si="9"/>
        <v/>
      </c>
      <c r="H152" s="88" t="str">
        <f t="shared" si="7"/>
        <v/>
      </c>
      <c r="I152" s="64" t="str">
        <f t="shared" si="8"/>
        <v/>
      </c>
    </row>
    <row r="153" spans="1:9" x14ac:dyDescent="0.2">
      <c r="A153" s="64"/>
      <c r="B153" s="64"/>
      <c r="C153" s="64"/>
      <c r="D153" s="64"/>
      <c r="E153" s="88"/>
      <c r="F153" s="88"/>
      <c r="G153" s="93" t="str">
        <f t="shared" si="9"/>
        <v/>
      </c>
      <c r="H153" s="88" t="str">
        <f t="shared" si="7"/>
        <v/>
      </c>
      <c r="I153" s="64" t="str">
        <f t="shared" si="8"/>
        <v/>
      </c>
    </row>
    <row r="154" spans="1:9" x14ac:dyDescent="0.2">
      <c r="A154" s="64"/>
      <c r="B154" s="64"/>
      <c r="C154" s="64"/>
      <c r="D154" s="64"/>
      <c r="E154" s="88"/>
      <c r="F154" s="88"/>
      <c r="G154" s="93" t="str">
        <f t="shared" si="9"/>
        <v/>
      </c>
      <c r="H154" s="88" t="str">
        <f t="shared" si="7"/>
        <v/>
      </c>
      <c r="I154" s="64" t="str">
        <f t="shared" si="8"/>
        <v/>
      </c>
    </row>
    <row r="155" spans="1:9" x14ac:dyDescent="0.2">
      <c r="A155" s="64"/>
      <c r="B155" s="64"/>
      <c r="C155" s="64"/>
      <c r="D155" s="64"/>
      <c r="E155" s="88"/>
      <c r="F155" s="88"/>
      <c r="G155" s="93" t="str">
        <f t="shared" si="9"/>
        <v/>
      </c>
      <c r="H155" s="88" t="str">
        <f t="shared" si="7"/>
        <v/>
      </c>
      <c r="I155" s="64" t="str">
        <f t="shared" si="8"/>
        <v/>
      </c>
    </row>
    <row r="156" spans="1:9" x14ac:dyDescent="0.2">
      <c r="A156" s="64"/>
      <c r="B156" s="64"/>
      <c r="C156" s="64"/>
      <c r="D156" s="64"/>
      <c r="E156" s="88"/>
      <c r="F156" s="88"/>
      <c r="G156" s="93" t="str">
        <f t="shared" si="9"/>
        <v/>
      </c>
      <c r="H156" s="88" t="str">
        <f t="shared" si="7"/>
        <v/>
      </c>
      <c r="I156" s="64" t="str">
        <f t="shared" si="8"/>
        <v/>
      </c>
    </row>
    <row r="157" spans="1:9" x14ac:dyDescent="0.2">
      <c r="A157" s="64"/>
      <c r="B157" s="64"/>
      <c r="C157" s="64"/>
      <c r="D157" s="64"/>
      <c r="E157" s="88"/>
      <c r="F157" s="88"/>
      <c r="G157" s="93" t="str">
        <f t="shared" si="9"/>
        <v/>
      </c>
      <c r="H157" s="88" t="str">
        <f t="shared" si="7"/>
        <v/>
      </c>
      <c r="I157" s="64" t="str">
        <f t="shared" si="8"/>
        <v/>
      </c>
    </row>
    <row r="158" spans="1:9" x14ac:dyDescent="0.2">
      <c r="A158" s="64"/>
      <c r="B158" s="64"/>
      <c r="C158" s="64"/>
      <c r="D158" s="64"/>
      <c r="E158" s="88"/>
      <c r="F158" s="88"/>
      <c r="G158" s="93" t="str">
        <f t="shared" si="9"/>
        <v/>
      </c>
      <c r="H158" s="88" t="str">
        <f t="shared" si="7"/>
        <v/>
      </c>
      <c r="I158" s="64" t="str">
        <f t="shared" si="8"/>
        <v/>
      </c>
    </row>
    <row r="159" spans="1:9" x14ac:dyDescent="0.2">
      <c r="A159" s="64"/>
      <c r="B159" s="64"/>
      <c r="C159" s="64"/>
      <c r="D159" s="64"/>
      <c r="E159" s="88"/>
      <c r="F159" s="88"/>
      <c r="G159" s="93" t="str">
        <f t="shared" si="9"/>
        <v/>
      </c>
      <c r="H159" s="88" t="str">
        <f t="shared" si="7"/>
        <v/>
      </c>
      <c r="I159" s="64" t="str">
        <f t="shared" si="8"/>
        <v/>
      </c>
    </row>
    <row r="160" spans="1:9" x14ac:dyDescent="0.2">
      <c r="A160" s="64"/>
      <c r="B160" s="64"/>
      <c r="C160" s="64"/>
      <c r="D160" s="64"/>
      <c r="E160" s="88"/>
      <c r="F160" s="88"/>
      <c r="G160" s="93" t="str">
        <f t="shared" si="9"/>
        <v/>
      </c>
      <c r="H160" s="88" t="str">
        <f t="shared" si="7"/>
        <v/>
      </c>
      <c r="I160" s="64" t="str">
        <f t="shared" si="8"/>
        <v/>
      </c>
    </row>
    <row r="161" spans="1:9" x14ac:dyDescent="0.2">
      <c r="A161" s="64"/>
      <c r="B161" s="64"/>
      <c r="C161" s="64"/>
      <c r="D161" s="64"/>
      <c r="E161" s="88"/>
      <c r="F161" s="88"/>
      <c r="G161" s="93" t="str">
        <f t="shared" si="9"/>
        <v/>
      </c>
      <c r="H161" s="88" t="str">
        <f t="shared" si="7"/>
        <v/>
      </c>
      <c r="I161" s="64" t="str">
        <f t="shared" si="8"/>
        <v/>
      </c>
    </row>
    <row r="162" spans="1:9" x14ac:dyDescent="0.2">
      <c r="A162" s="64"/>
      <c r="B162" s="64"/>
      <c r="C162" s="64"/>
      <c r="D162" s="64"/>
      <c r="E162" s="88"/>
      <c r="F162" s="88"/>
      <c r="G162" s="93" t="str">
        <f t="shared" si="9"/>
        <v/>
      </c>
      <c r="H162" s="88" t="str">
        <f t="shared" si="7"/>
        <v/>
      </c>
      <c r="I162" s="64" t="str">
        <f t="shared" si="8"/>
        <v/>
      </c>
    </row>
    <row r="163" spans="1:9" x14ac:dyDescent="0.2">
      <c r="A163" s="64"/>
      <c r="B163" s="64"/>
      <c r="C163" s="64"/>
      <c r="D163" s="64"/>
      <c r="E163" s="88"/>
      <c r="F163" s="88"/>
      <c r="G163" s="93" t="str">
        <f t="shared" si="9"/>
        <v/>
      </c>
      <c r="H163" s="88" t="str">
        <f t="shared" si="7"/>
        <v/>
      </c>
      <c r="I163" s="64" t="str">
        <f t="shared" si="8"/>
        <v/>
      </c>
    </row>
    <row r="164" spans="1:9" x14ac:dyDescent="0.2">
      <c r="A164" s="64"/>
      <c r="B164" s="64"/>
      <c r="C164" s="64"/>
      <c r="D164" s="64"/>
      <c r="E164" s="88"/>
      <c r="F164" s="88"/>
      <c r="G164" s="93" t="str">
        <f t="shared" si="9"/>
        <v/>
      </c>
      <c r="H164" s="88" t="str">
        <f t="shared" si="7"/>
        <v/>
      </c>
      <c r="I164" s="64" t="str">
        <f t="shared" si="8"/>
        <v/>
      </c>
    </row>
    <row r="165" spans="1:9" x14ac:dyDescent="0.2">
      <c r="A165" s="64"/>
      <c r="B165" s="64"/>
      <c r="C165" s="64"/>
      <c r="D165" s="64"/>
      <c r="E165" s="88"/>
      <c r="F165" s="88"/>
      <c r="G165" s="93" t="str">
        <f t="shared" si="9"/>
        <v/>
      </c>
      <c r="H165" s="88" t="str">
        <f t="shared" si="7"/>
        <v/>
      </c>
      <c r="I165" s="64" t="str">
        <f t="shared" si="8"/>
        <v/>
      </c>
    </row>
    <row r="166" spans="1:9" x14ac:dyDescent="0.2">
      <c r="A166" s="64"/>
      <c r="B166" s="64"/>
      <c r="C166" s="64"/>
      <c r="D166" s="64"/>
      <c r="E166" s="88"/>
      <c r="F166" s="88"/>
      <c r="G166" s="93" t="str">
        <f t="shared" si="9"/>
        <v/>
      </c>
      <c r="H166" s="88" t="str">
        <f t="shared" si="7"/>
        <v/>
      </c>
      <c r="I166" s="64" t="str">
        <f t="shared" si="8"/>
        <v/>
      </c>
    </row>
    <row r="167" spans="1:9" x14ac:dyDescent="0.2">
      <c r="A167" s="64"/>
      <c r="B167" s="64"/>
      <c r="C167" s="64"/>
      <c r="D167" s="64"/>
      <c r="E167" s="88"/>
      <c r="F167" s="88"/>
      <c r="G167" s="93" t="str">
        <f t="shared" si="9"/>
        <v/>
      </c>
      <c r="H167" s="88" t="str">
        <f t="shared" ref="H167:H230" si="10">IF(OR(AND(B167="", C167="", D167="", F167=""), F167=""), "", B$1/G167)</f>
        <v/>
      </c>
      <c r="I167" s="64" t="str">
        <f t="shared" ref="I167:I230" si="11">IF(OR(AND(B167="", C167="", D167="", F167=""), F167=""), "", IF(H167&lt;=$D$1, "Y", ""))</f>
        <v/>
      </c>
    </row>
    <row r="168" spans="1:9" x14ac:dyDescent="0.2">
      <c r="A168" s="64"/>
      <c r="B168" s="64"/>
      <c r="C168" s="64"/>
      <c r="D168" s="64"/>
      <c r="E168" s="88"/>
      <c r="F168" s="88"/>
      <c r="G168" s="93" t="str">
        <f t="shared" si="9"/>
        <v/>
      </c>
      <c r="H168" s="88" t="str">
        <f t="shared" si="10"/>
        <v/>
      </c>
      <c r="I168" s="64" t="str">
        <f t="shared" si="11"/>
        <v/>
      </c>
    </row>
    <row r="169" spans="1:9" x14ac:dyDescent="0.2">
      <c r="A169" s="64"/>
      <c r="B169" s="64"/>
      <c r="C169" s="64"/>
      <c r="D169" s="64"/>
      <c r="E169" s="88"/>
      <c r="F169" s="88"/>
      <c r="G169" s="93" t="str">
        <f t="shared" si="9"/>
        <v/>
      </c>
      <c r="H169" s="88" t="str">
        <f t="shared" si="10"/>
        <v/>
      </c>
      <c r="I169" s="64" t="str">
        <f t="shared" si="11"/>
        <v/>
      </c>
    </row>
    <row r="170" spans="1:9" x14ac:dyDescent="0.2">
      <c r="A170" s="64"/>
      <c r="B170" s="64"/>
      <c r="C170" s="64"/>
      <c r="D170" s="64"/>
      <c r="E170" s="88"/>
      <c r="F170" s="88"/>
      <c r="G170" s="93" t="str">
        <f t="shared" si="9"/>
        <v/>
      </c>
      <c r="H170" s="88" t="str">
        <f t="shared" si="10"/>
        <v/>
      </c>
      <c r="I170" s="64" t="str">
        <f t="shared" si="11"/>
        <v/>
      </c>
    </row>
    <row r="171" spans="1:9" x14ac:dyDescent="0.2">
      <c r="A171" s="64"/>
      <c r="B171" s="64"/>
      <c r="C171" s="64"/>
      <c r="D171" s="64"/>
      <c r="E171" s="88"/>
      <c r="F171" s="88"/>
      <c r="G171" s="93" t="str">
        <f t="shared" si="9"/>
        <v/>
      </c>
      <c r="H171" s="88" t="str">
        <f t="shared" si="10"/>
        <v/>
      </c>
      <c r="I171" s="64" t="str">
        <f t="shared" si="11"/>
        <v/>
      </c>
    </row>
    <row r="172" spans="1:9" x14ac:dyDescent="0.2">
      <c r="A172" s="64"/>
      <c r="B172" s="64"/>
      <c r="C172" s="64"/>
      <c r="D172" s="64"/>
      <c r="E172" s="88"/>
      <c r="F172" s="88"/>
      <c r="G172" s="93" t="str">
        <f t="shared" si="9"/>
        <v/>
      </c>
      <c r="H172" s="88" t="str">
        <f t="shared" si="10"/>
        <v/>
      </c>
      <c r="I172" s="64" t="str">
        <f t="shared" si="11"/>
        <v/>
      </c>
    </row>
    <row r="173" spans="1:9" x14ac:dyDescent="0.2">
      <c r="A173" s="64"/>
      <c r="B173" s="64"/>
      <c r="C173" s="64"/>
      <c r="D173" s="64"/>
      <c r="E173" s="88"/>
      <c r="F173" s="88"/>
      <c r="G173" s="93" t="str">
        <f t="shared" si="9"/>
        <v/>
      </c>
      <c r="H173" s="88" t="str">
        <f t="shared" si="10"/>
        <v/>
      </c>
      <c r="I173" s="64" t="str">
        <f t="shared" si="11"/>
        <v/>
      </c>
    </row>
    <row r="174" spans="1:9" x14ac:dyDescent="0.2">
      <c r="A174" s="64"/>
      <c r="B174" s="64"/>
      <c r="C174" s="64"/>
      <c r="D174" s="64"/>
      <c r="E174" s="88"/>
      <c r="F174" s="88"/>
      <c r="G174" s="93" t="str">
        <f t="shared" si="9"/>
        <v/>
      </c>
      <c r="H174" s="88" t="str">
        <f t="shared" si="10"/>
        <v/>
      </c>
      <c r="I174" s="64" t="str">
        <f t="shared" si="11"/>
        <v/>
      </c>
    </row>
    <row r="175" spans="1:9" x14ac:dyDescent="0.2">
      <c r="A175" s="64"/>
      <c r="B175" s="64"/>
      <c r="C175" s="64"/>
      <c r="D175" s="64"/>
      <c r="E175" s="88"/>
      <c r="F175" s="88"/>
      <c r="G175" s="93" t="str">
        <f t="shared" si="9"/>
        <v/>
      </c>
      <c r="H175" s="88" t="str">
        <f t="shared" si="10"/>
        <v/>
      </c>
      <c r="I175" s="64" t="str">
        <f t="shared" si="11"/>
        <v/>
      </c>
    </row>
    <row r="176" spans="1:9" x14ac:dyDescent="0.2">
      <c r="A176" s="64"/>
      <c r="B176" s="64"/>
      <c r="C176" s="64"/>
      <c r="D176" s="64"/>
      <c r="E176" s="88"/>
      <c r="F176" s="88"/>
      <c r="G176" s="93" t="str">
        <f t="shared" si="9"/>
        <v/>
      </c>
      <c r="H176" s="88" t="str">
        <f t="shared" si="10"/>
        <v/>
      </c>
      <c r="I176" s="64" t="str">
        <f t="shared" si="11"/>
        <v/>
      </c>
    </row>
    <row r="177" spans="1:9" x14ac:dyDescent="0.2">
      <c r="A177" s="64"/>
      <c r="B177" s="64"/>
      <c r="C177" s="64"/>
      <c r="D177" s="64"/>
      <c r="E177" s="88"/>
      <c r="F177" s="88"/>
      <c r="G177" s="93" t="str">
        <f t="shared" si="9"/>
        <v/>
      </c>
      <c r="H177" s="88" t="str">
        <f t="shared" si="10"/>
        <v/>
      </c>
      <c r="I177" s="64" t="str">
        <f t="shared" si="11"/>
        <v/>
      </c>
    </row>
    <row r="178" spans="1:9" x14ac:dyDescent="0.2">
      <c r="A178" s="64"/>
      <c r="B178" s="64"/>
      <c r="C178" s="64"/>
      <c r="D178" s="64"/>
      <c r="E178" s="88"/>
      <c r="F178" s="88"/>
      <c r="G178" s="93" t="str">
        <f t="shared" si="9"/>
        <v/>
      </c>
      <c r="H178" s="88" t="str">
        <f t="shared" si="10"/>
        <v/>
      </c>
      <c r="I178" s="64" t="str">
        <f t="shared" si="11"/>
        <v/>
      </c>
    </row>
    <row r="179" spans="1:9" x14ac:dyDescent="0.2">
      <c r="A179" s="64"/>
      <c r="B179" s="64"/>
      <c r="C179" s="64"/>
      <c r="D179" s="64"/>
      <c r="E179" s="88"/>
      <c r="F179" s="88"/>
      <c r="G179" s="93" t="str">
        <f t="shared" si="9"/>
        <v/>
      </c>
      <c r="H179" s="88" t="str">
        <f t="shared" si="10"/>
        <v/>
      </c>
      <c r="I179" s="64" t="str">
        <f t="shared" si="11"/>
        <v/>
      </c>
    </row>
    <row r="180" spans="1:9" x14ac:dyDescent="0.2">
      <c r="A180" s="64"/>
      <c r="B180" s="64"/>
      <c r="C180" s="64"/>
      <c r="D180" s="64"/>
      <c r="E180" s="88"/>
      <c r="F180" s="88"/>
      <c r="G180" s="93" t="str">
        <f t="shared" si="9"/>
        <v/>
      </c>
      <c r="H180" s="88" t="str">
        <f t="shared" si="10"/>
        <v/>
      </c>
      <c r="I180" s="64" t="str">
        <f t="shared" si="11"/>
        <v/>
      </c>
    </row>
    <row r="181" spans="1:9" x14ac:dyDescent="0.2">
      <c r="A181" s="64"/>
      <c r="B181" s="64"/>
      <c r="C181" s="64"/>
      <c r="D181" s="64"/>
      <c r="E181" s="88"/>
      <c r="F181" s="88"/>
      <c r="G181" s="93" t="str">
        <f t="shared" si="9"/>
        <v/>
      </c>
      <c r="H181" s="88" t="str">
        <f t="shared" si="10"/>
        <v/>
      </c>
      <c r="I181" s="64" t="str">
        <f t="shared" si="11"/>
        <v/>
      </c>
    </row>
    <row r="182" spans="1:9" x14ac:dyDescent="0.2">
      <c r="A182" s="64"/>
      <c r="B182" s="64"/>
      <c r="C182" s="64"/>
      <c r="D182" s="64"/>
      <c r="E182" s="88"/>
      <c r="F182" s="88"/>
      <c r="G182" s="93" t="str">
        <f t="shared" si="9"/>
        <v/>
      </c>
      <c r="H182" s="88" t="str">
        <f t="shared" si="10"/>
        <v/>
      </c>
      <c r="I182" s="64" t="str">
        <f t="shared" si="11"/>
        <v/>
      </c>
    </row>
    <row r="183" spans="1:9" x14ac:dyDescent="0.2">
      <c r="A183" s="64"/>
      <c r="B183" s="64"/>
      <c r="C183" s="64"/>
      <c r="D183" s="64"/>
      <c r="E183" s="88"/>
      <c r="F183" s="88"/>
      <c r="G183" s="93" t="str">
        <f t="shared" si="9"/>
        <v/>
      </c>
      <c r="H183" s="88" t="str">
        <f t="shared" si="10"/>
        <v/>
      </c>
      <c r="I183" s="64" t="str">
        <f t="shared" si="11"/>
        <v/>
      </c>
    </row>
    <row r="184" spans="1:9" x14ac:dyDescent="0.2">
      <c r="A184" s="64"/>
      <c r="B184" s="64"/>
      <c r="C184" s="64"/>
      <c r="D184" s="64"/>
      <c r="E184" s="88"/>
      <c r="F184" s="88"/>
      <c r="G184" s="93" t="str">
        <f t="shared" si="9"/>
        <v/>
      </c>
      <c r="H184" s="88" t="str">
        <f t="shared" si="10"/>
        <v/>
      </c>
      <c r="I184" s="64" t="str">
        <f t="shared" si="11"/>
        <v/>
      </c>
    </row>
    <row r="185" spans="1:9" x14ac:dyDescent="0.2">
      <c r="A185" s="64"/>
      <c r="B185" s="64"/>
      <c r="C185" s="64"/>
      <c r="D185" s="64"/>
      <c r="E185" s="88"/>
      <c r="F185" s="88"/>
      <c r="G185" s="93" t="str">
        <f t="shared" si="9"/>
        <v/>
      </c>
      <c r="H185" s="88" t="str">
        <f t="shared" si="10"/>
        <v/>
      </c>
      <c r="I185" s="64" t="str">
        <f t="shared" si="11"/>
        <v/>
      </c>
    </row>
    <row r="186" spans="1:9" x14ac:dyDescent="0.2">
      <c r="A186" s="64"/>
      <c r="B186" s="64"/>
      <c r="C186" s="64"/>
      <c r="D186" s="64"/>
      <c r="E186" s="88"/>
      <c r="F186" s="88"/>
      <c r="G186" s="93" t="str">
        <f t="shared" si="9"/>
        <v/>
      </c>
      <c r="H186" s="88" t="str">
        <f t="shared" si="10"/>
        <v/>
      </c>
      <c r="I186" s="64" t="str">
        <f t="shared" si="11"/>
        <v/>
      </c>
    </row>
    <row r="187" spans="1:9" x14ac:dyDescent="0.2">
      <c r="A187" s="64"/>
      <c r="B187" s="64"/>
      <c r="C187" s="64"/>
      <c r="D187" s="64"/>
      <c r="E187" s="88"/>
      <c r="F187" s="88"/>
      <c r="G187" s="93" t="str">
        <f t="shared" si="9"/>
        <v/>
      </c>
      <c r="H187" s="88" t="str">
        <f t="shared" si="10"/>
        <v/>
      </c>
      <c r="I187" s="64" t="str">
        <f t="shared" si="11"/>
        <v/>
      </c>
    </row>
    <row r="188" spans="1:9" x14ac:dyDescent="0.2">
      <c r="A188" s="64"/>
      <c r="B188" s="64"/>
      <c r="C188" s="64"/>
      <c r="D188" s="64"/>
      <c r="E188" s="88"/>
      <c r="F188" s="88"/>
      <c r="G188" s="93" t="str">
        <f t="shared" si="9"/>
        <v/>
      </c>
      <c r="H188" s="88" t="str">
        <f t="shared" si="10"/>
        <v/>
      </c>
      <c r="I188" s="64" t="str">
        <f t="shared" si="11"/>
        <v/>
      </c>
    </row>
    <row r="189" spans="1:9" x14ac:dyDescent="0.2">
      <c r="A189" s="64"/>
      <c r="B189" s="64"/>
      <c r="C189" s="64"/>
      <c r="D189" s="64"/>
      <c r="E189" s="88"/>
      <c r="F189" s="88"/>
      <c r="G189" s="93" t="str">
        <f t="shared" si="9"/>
        <v/>
      </c>
      <c r="H189" s="88" t="str">
        <f t="shared" si="10"/>
        <v/>
      </c>
      <c r="I189" s="64" t="str">
        <f t="shared" si="11"/>
        <v/>
      </c>
    </row>
    <row r="190" spans="1:9" x14ac:dyDescent="0.2">
      <c r="A190" s="64"/>
      <c r="B190" s="64"/>
      <c r="C190" s="64"/>
      <c r="D190" s="64"/>
      <c r="E190" s="88"/>
      <c r="F190" s="88"/>
      <c r="G190" s="93" t="str">
        <f t="shared" si="9"/>
        <v/>
      </c>
      <c r="H190" s="88" t="str">
        <f t="shared" si="10"/>
        <v/>
      </c>
      <c r="I190" s="64" t="str">
        <f t="shared" si="11"/>
        <v/>
      </c>
    </row>
    <row r="191" spans="1:9" x14ac:dyDescent="0.2">
      <c r="A191" s="64"/>
      <c r="B191" s="64"/>
      <c r="C191" s="64"/>
      <c r="D191" s="64"/>
      <c r="E191" s="88"/>
      <c r="F191" s="88"/>
      <c r="G191" s="93" t="str">
        <f t="shared" si="9"/>
        <v/>
      </c>
      <c r="H191" s="88" t="str">
        <f t="shared" si="10"/>
        <v/>
      </c>
      <c r="I191" s="64" t="str">
        <f t="shared" si="11"/>
        <v/>
      </c>
    </row>
    <row r="192" spans="1:9" x14ac:dyDescent="0.2">
      <c r="A192" s="64"/>
      <c r="B192" s="64"/>
      <c r="C192" s="64"/>
      <c r="D192" s="64"/>
      <c r="E192" s="88"/>
      <c r="F192" s="88"/>
      <c r="G192" s="93" t="str">
        <f t="shared" si="9"/>
        <v/>
      </c>
      <c r="H192" s="88" t="str">
        <f t="shared" si="10"/>
        <v/>
      </c>
      <c r="I192" s="64" t="str">
        <f t="shared" si="11"/>
        <v/>
      </c>
    </row>
    <row r="193" spans="1:9" x14ac:dyDescent="0.2">
      <c r="A193" s="64"/>
      <c r="B193" s="64"/>
      <c r="C193" s="64"/>
      <c r="D193" s="64"/>
      <c r="E193" s="88"/>
      <c r="F193" s="88"/>
      <c r="G193" s="93" t="str">
        <f t="shared" si="9"/>
        <v/>
      </c>
      <c r="H193" s="88" t="str">
        <f t="shared" si="10"/>
        <v/>
      </c>
      <c r="I193" s="64" t="str">
        <f t="shared" si="11"/>
        <v/>
      </c>
    </row>
    <row r="194" spans="1:9" x14ac:dyDescent="0.2">
      <c r="A194" s="64"/>
      <c r="B194" s="64"/>
      <c r="C194" s="64"/>
      <c r="D194" s="64"/>
      <c r="E194" s="88"/>
      <c r="F194" s="88"/>
      <c r="G194" s="93" t="str">
        <f t="shared" si="9"/>
        <v/>
      </c>
      <c r="H194" s="88" t="str">
        <f t="shared" si="10"/>
        <v/>
      </c>
      <c r="I194" s="64" t="str">
        <f t="shared" si="11"/>
        <v/>
      </c>
    </row>
    <row r="195" spans="1:9" x14ac:dyDescent="0.2">
      <c r="A195" s="64"/>
      <c r="B195" s="64"/>
      <c r="C195" s="64"/>
      <c r="D195" s="64"/>
      <c r="E195" s="88"/>
      <c r="F195" s="88"/>
      <c r="G195" s="93" t="str">
        <f t="shared" si="9"/>
        <v/>
      </c>
      <c r="H195" s="88" t="str">
        <f t="shared" si="10"/>
        <v/>
      </c>
      <c r="I195" s="64" t="str">
        <f t="shared" si="11"/>
        <v/>
      </c>
    </row>
    <row r="196" spans="1:9" x14ac:dyDescent="0.2">
      <c r="A196" s="64"/>
      <c r="B196" s="64"/>
      <c r="C196" s="64"/>
      <c r="D196" s="64"/>
      <c r="E196" s="88"/>
      <c r="F196" s="88"/>
      <c r="G196" s="93" t="str">
        <f t="shared" si="9"/>
        <v/>
      </c>
      <c r="H196" s="88" t="str">
        <f t="shared" si="10"/>
        <v/>
      </c>
      <c r="I196" s="64" t="str">
        <f t="shared" si="11"/>
        <v/>
      </c>
    </row>
    <row r="197" spans="1:9" x14ac:dyDescent="0.2">
      <c r="A197" s="64"/>
      <c r="B197" s="64"/>
      <c r="C197" s="64"/>
      <c r="D197" s="64"/>
      <c r="E197" s="88"/>
      <c r="F197" s="88"/>
      <c r="G197" s="93" t="str">
        <f t="shared" si="9"/>
        <v/>
      </c>
      <c r="H197" s="88" t="str">
        <f t="shared" si="10"/>
        <v/>
      </c>
      <c r="I197" s="64" t="str">
        <f t="shared" si="11"/>
        <v/>
      </c>
    </row>
    <row r="198" spans="1:9" x14ac:dyDescent="0.2">
      <c r="A198" s="64"/>
      <c r="B198" s="64"/>
      <c r="C198" s="64"/>
      <c r="D198" s="64"/>
      <c r="E198" s="88"/>
      <c r="F198" s="88"/>
      <c r="G198" s="93" t="str">
        <f t="shared" ref="G198:G261" si="12">IF(OR(AND(B198="", C198="", D198="", F198= ""), F198=""), "", F198/10^6)</f>
        <v/>
      </c>
      <c r="H198" s="88" t="str">
        <f t="shared" si="10"/>
        <v/>
      </c>
      <c r="I198" s="64" t="str">
        <f t="shared" si="11"/>
        <v/>
      </c>
    </row>
    <row r="199" spans="1:9" x14ac:dyDescent="0.2">
      <c r="A199" s="64"/>
      <c r="B199" s="64"/>
      <c r="C199" s="64"/>
      <c r="D199" s="64"/>
      <c r="E199" s="88"/>
      <c r="F199" s="88"/>
      <c r="G199" s="93" t="str">
        <f t="shared" si="12"/>
        <v/>
      </c>
      <c r="H199" s="88" t="str">
        <f t="shared" si="10"/>
        <v/>
      </c>
      <c r="I199" s="64" t="str">
        <f t="shared" si="11"/>
        <v/>
      </c>
    </row>
    <row r="200" spans="1:9" x14ac:dyDescent="0.2">
      <c r="A200" s="64"/>
      <c r="B200" s="64"/>
      <c r="C200" s="64"/>
      <c r="D200" s="64"/>
      <c r="E200" s="88"/>
      <c r="F200" s="88"/>
      <c r="G200" s="93" t="str">
        <f t="shared" si="12"/>
        <v/>
      </c>
      <c r="H200" s="88" t="str">
        <f t="shared" si="10"/>
        <v/>
      </c>
      <c r="I200" s="64" t="str">
        <f t="shared" si="11"/>
        <v/>
      </c>
    </row>
    <row r="201" spans="1:9" x14ac:dyDescent="0.2">
      <c r="A201" s="64"/>
      <c r="B201" s="64"/>
      <c r="C201" s="64"/>
      <c r="D201" s="64"/>
      <c r="E201" s="88"/>
      <c r="F201" s="88"/>
      <c r="G201" s="93" t="str">
        <f t="shared" si="12"/>
        <v/>
      </c>
      <c r="H201" s="88" t="str">
        <f t="shared" si="10"/>
        <v/>
      </c>
      <c r="I201" s="64" t="str">
        <f t="shared" si="11"/>
        <v/>
      </c>
    </row>
    <row r="202" spans="1:9" x14ac:dyDescent="0.2">
      <c r="A202" s="64"/>
      <c r="B202" s="64"/>
      <c r="C202" s="64"/>
      <c r="D202" s="64"/>
      <c r="E202" s="88"/>
      <c r="F202" s="88"/>
      <c r="G202" s="93" t="str">
        <f t="shared" si="12"/>
        <v/>
      </c>
      <c r="H202" s="88" t="str">
        <f t="shared" si="10"/>
        <v/>
      </c>
      <c r="I202" s="64" t="str">
        <f t="shared" si="11"/>
        <v/>
      </c>
    </row>
    <row r="203" spans="1:9" x14ac:dyDescent="0.2">
      <c r="A203" s="64"/>
      <c r="B203" s="64"/>
      <c r="C203" s="64"/>
      <c r="D203" s="64"/>
      <c r="E203" s="88"/>
      <c r="F203" s="88"/>
      <c r="G203" s="93" t="str">
        <f t="shared" si="12"/>
        <v/>
      </c>
      <c r="H203" s="88" t="str">
        <f t="shared" si="10"/>
        <v/>
      </c>
      <c r="I203" s="64" t="str">
        <f t="shared" si="11"/>
        <v/>
      </c>
    </row>
    <row r="204" spans="1:9" x14ac:dyDescent="0.2">
      <c r="A204" s="64"/>
      <c r="B204" s="64"/>
      <c r="C204" s="64"/>
      <c r="D204" s="64"/>
      <c r="E204" s="88"/>
      <c r="F204" s="88"/>
      <c r="G204" s="93" t="str">
        <f t="shared" si="12"/>
        <v/>
      </c>
      <c r="H204" s="88" t="str">
        <f t="shared" si="10"/>
        <v/>
      </c>
      <c r="I204" s="64" t="str">
        <f t="shared" si="11"/>
        <v/>
      </c>
    </row>
    <row r="205" spans="1:9" x14ac:dyDescent="0.2">
      <c r="A205" s="64"/>
      <c r="B205" s="64"/>
      <c r="C205" s="64"/>
      <c r="D205" s="64"/>
      <c r="E205" s="88"/>
      <c r="F205" s="88"/>
      <c r="G205" s="93" t="str">
        <f t="shared" si="12"/>
        <v/>
      </c>
      <c r="H205" s="88" t="str">
        <f t="shared" si="10"/>
        <v/>
      </c>
      <c r="I205" s="64" t="str">
        <f t="shared" si="11"/>
        <v/>
      </c>
    </row>
    <row r="206" spans="1:9" x14ac:dyDescent="0.2">
      <c r="A206" s="64"/>
      <c r="B206" s="64"/>
      <c r="C206" s="64"/>
      <c r="D206" s="64"/>
      <c r="E206" s="88"/>
      <c r="F206" s="88"/>
      <c r="G206" s="93" t="str">
        <f t="shared" si="12"/>
        <v/>
      </c>
      <c r="H206" s="88" t="str">
        <f t="shared" si="10"/>
        <v/>
      </c>
      <c r="I206" s="64" t="str">
        <f t="shared" si="11"/>
        <v/>
      </c>
    </row>
    <row r="207" spans="1:9" x14ac:dyDescent="0.2">
      <c r="A207" s="64"/>
      <c r="B207" s="64"/>
      <c r="C207" s="64"/>
      <c r="D207" s="64"/>
      <c r="E207" s="88"/>
      <c r="F207" s="88"/>
      <c r="G207" s="93" t="str">
        <f t="shared" si="12"/>
        <v/>
      </c>
      <c r="H207" s="88" t="str">
        <f t="shared" si="10"/>
        <v/>
      </c>
      <c r="I207" s="64" t="str">
        <f t="shared" si="11"/>
        <v/>
      </c>
    </row>
    <row r="208" spans="1:9" x14ac:dyDescent="0.2">
      <c r="A208" s="64"/>
      <c r="B208" s="64"/>
      <c r="C208" s="64"/>
      <c r="D208" s="64"/>
      <c r="E208" s="88"/>
      <c r="F208" s="88"/>
      <c r="G208" s="93" t="str">
        <f t="shared" si="12"/>
        <v/>
      </c>
      <c r="H208" s="88" t="str">
        <f t="shared" si="10"/>
        <v/>
      </c>
      <c r="I208" s="64" t="str">
        <f t="shared" si="11"/>
        <v/>
      </c>
    </row>
    <row r="209" spans="1:9" x14ac:dyDescent="0.2">
      <c r="A209" s="64"/>
      <c r="B209" s="64"/>
      <c r="C209" s="64"/>
      <c r="D209" s="64"/>
      <c r="E209" s="88"/>
      <c r="F209" s="88"/>
      <c r="G209" s="93" t="str">
        <f t="shared" si="12"/>
        <v/>
      </c>
      <c r="H209" s="88" t="str">
        <f t="shared" si="10"/>
        <v/>
      </c>
      <c r="I209" s="64" t="str">
        <f t="shared" si="11"/>
        <v/>
      </c>
    </row>
    <row r="210" spans="1:9" x14ac:dyDescent="0.2">
      <c r="A210" s="64"/>
      <c r="B210" s="64"/>
      <c r="C210" s="64"/>
      <c r="D210" s="64"/>
      <c r="E210" s="88"/>
      <c r="F210" s="88"/>
      <c r="G210" s="93" t="str">
        <f t="shared" si="12"/>
        <v/>
      </c>
      <c r="H210" s="88" t="str">
        <f t="shared" si="10"/>
        <v/>
      </c>
      <c r="I210" s="64" t="str">
        <f t="shared" si="11"/>
        <v/>
      </c>
    </row>
    <row r="211" spans="1:9" x14ac:dyDescent="0.2">
      <c r="A211" s="64"/>
      <c r="B211" s="64"/>
      <c r="C211" s="64"/>
      <c r="D211" s="64"/>
      <c r="E211" s="88"/>
      <c r="F211" s="88"/>
      <c r="G211" s="93" t="str">
        <f t="shared" si="12"/>
        <v/>
      </c>
      <c r="H211" s="88" t="str">
        <f t="shared" si="10"/>
        <v/>
      </c>
      <c r="I211" s="64" t="str">
        <f t="shared" si="11"/>
        <v/>
      </c>
    </row>
    <row r="212" spans="1:9" x14ac:dyDescent="0.2">
      <c r="A212" s="64"/>
      <c r="B212" s="64"/>
      <c r="C212" s="64"/>
      <c r="D212" s="64"/>
      <c r="E212" s="88"/>
      <c r="F212" s="88"/>
      <c r="G212" s="93" t="str">
        <f t="shared" si="12"/>
        <v/>
      </c>
      <c r="H212" s="88" t="str">
        <f t="shared" si="10"/>
        <v/>
      </c>
      <c r="I212" s="64" t="str">
        <f t="shared" si="11"/>
        <v/>
      </c>
    </row>
    <row r="213" spans="1:9" x14ac:dyDescent="0.2">
      <c r="A213" s="64"/>
      <c r="B213" s="64"/>
      <c r="C213" s="64"/>
      <c r="D213" s="64"/>
      <c r="E213" s="88"/>
      <c r="F213" s="88"/>
      <c r="G213" s="93" t="str">
        <f t="shared" si="12"/>
        <v/>
      </c>
      <c r="H213" s="88" t="str">
        <f t="shared" si="10"/>
        <v/>
      </c>
      <c r="I213" s="64" t="str">
        <f t="shared" si="11"/>
        <v/>
      </c>
    </row>
    <row r="214" spans="1:9" x14ac:dyDescent="0.2">
      <c r="A214" s="64"/>
      <c r="B214" s="64"/>
      <c r="C214" s="64"/>
      <c r="D214" s="64"/>
      <c r="E214" s="88"/>
      <c r="F214" s="88"/>
      <c r="G214" s="93" t="str">
        <f t="shared" si="12"/>
        <v/>
      </c>
      <c r="H214" s="88" t="str">
        <f t="shared" si="10"/>
        <v/>
      </c>
      <c r="I214" s="64" t="str">
        <f t="shared" si="11"/>
        <v/>
      </c>
    </row>
    <row r="215" spans="1:9" x14ac:dyDescent="0.2">
      <c r="A215" s="64"/>
      <c r="B215" s="64"/>
      <c r="C215" s="64"/>
      <c r="D215" s="64"/>
      <c r="E215" s="88"/>
      <c r="F215" s="88"/>
      <c r="G215" s="93" t="str">
        <f t="shared" si="12"/>
        <v/>
      </c>
      <c r="H215" s="88" t="str">
        <f t="shared" si="10"/>
        <v/>
      </c>
      <c r="I215" s="64" t="str">
        <f t="shared" si="11"/>
        <v/>
      </c>
    </row>
    <row r="216" spans="1:9" x14ac:dyDescent="0.2">
      <c r="A216" s="64"/>
      <c r="B216" s="64"/>
      <c r="C216" s="64"/>
      <c r="D216" s="64"/>
      <c r="E216" s="88"/>
      <c r="F216" s="88"/>
      <c r="G216" s="93" t="str">
        <f t="shared" si="12"/>
        <v/>
      </c>
      <c r="H216" s="88" t="str">
        <f t="shared" si="10"/>
        <v/>
      </c>
      <c r="I216" s="64" t="str">
        <f t="shared" si="11"/>
        <v/>
      </c>
    </row>
    <row r="217" spans="1:9" x14ac:dyDescent="0.2">
      <c r="A217" s="64"/>
      <c r="B217" s="64"/>
      <c r="C217" s="64"/>
      <c r="D217" s="64"/>
      <c r="E217" s="88"/>
      <c r="F217" s="88"/>
      <c r="G217" s="93" t="str">
        <f t="shared" si="12"/>
        <v/>
      </c>
      <c r="H217" s="88" t="str">
        <f t="shared" si="10"/>
        <v/>
      </c>
      <c r="I217" s="64" t="str">
        <f t="shared" si="11"/>
        <v/>
      </c>
    </row>
    <row r="218" spans="1:9" x14ac:dyDescent="0.2">
      <c r="A218" s="64"/>
      <c r="B218" s="64"/>
      <c r="C218" s="64"/>
      <c r="D218" s="64"/>
      <c r="E218" s="88"/>
      <c r="F218" s="88"/>
      <c r="G218" s="93" t="str">
        <f t="shared" si="12"/>
        <v/>
      </c>
      <c r="H218" s="88" t="str">
        <f t="shared" si="10"/>
        <v/>
      </c>
      <c r="I218" s="64" t="str">
        <f t="shared" si="11"/>
        <v/>
      </c>
    </row>
    <row r="219" spans="1:9" x14ac:dyDescent="0.2">
      <c r="A219" s="64"/>
      <c r="B219" s="64"/>
      <c r="C219" s="64"/>
      <c r="D219" s="64"/>
      <c r="E219" s="88"/>
      <c r="F219" s="88"/>
      <c r="G219" s="93" t="str">
        <f t="shared" si="12"/>
        <v/>
      </c>
      <c r="H219" s="88" t="str">
        <f t="shared" si="10"/>
        <v/>
      </c>
      <c r="I219" s="64" t="str">
        <f t="shared" si="11"/>
        <v/>
      </c>
    </row>
    <row r="220" spans="1:9" x14ac:dyDescent="0.2">
      <c r="A220" s="64"/>
      <c r="B220" s="64"/>
      <c r="C220" s="64"/>
      <c r="D220" s="64"/>
      <c r="E220" s="88"/>
      <c r="F220" s="88"/>
      <c r="G220" s="93" t="str">
        <f t="shared" si="12"/>
        <v/>
      </c>
      <c r="H220" s="88" t="str">
        <f t="shared" si="10"/>
        <v/>
      </c>
      <c r="I220" s="64" t="str">
        <f t="shared" si="11"/>
        <v/>
      </c>
    </row>
    <row r="221" spans="1:9" x14ac:dyDescent="0.2">
      <c r="A221" s="64"/>
      <c r="B221" s="64"/>
      <c r="C221" s="64"/>
      <c r="D221" s="64"/>
      <c r="E221" s="88"/>
      <c r="F221" s="88"/>
      <c r="G221" s="93" t="str">
        <f t="shared" si="12"/>
        <v/>
      </c>
      <c r="H221" s="88" t="str">
        <f t="shared" si="10"/>
        <v/>
      </c>
      <c r="I221" s="64" t="str">
        <f t="shared" si="11"/>
        <v/>
      </c>
    </row>
    <row r="222" spans="1:9" x14ac:dyDescent="0.2">
      <c r="A222" s="64"/>
      <c r="B222" s="64"/>
      <c r="C222" s="64"/>
      <c r="D222" s="64"/>
      <c r="E222" s="88"/>
      <c r="F222" s="88"/>
      <c r="G222" s="93" t="str">
        <f t="shared" si="12"/>
        <v/>
      </c>
      <c r="H222" s="88" t="str">
        <f t="shared" si="10"/>
        <v/>
      </c>
      <c r="I222" s="64" t="str">
        <f t="shared" si="11"/>
        <v/>
      </c>
    </row>
    <row r="223" spans="1:9" x14ac:dyDescent="0.2">
      <c r="A223" s="64"/>
      <c r="B223" s="64"/>
      <c r="C223" s="64"/>
      <c r="D223" s="64"/>
      <c r="E223" s="88"/>
      <c r="F223" s="88"/>
      <c r="G223" s="93" t="str">
        <f t="shared" si="12"/>
        <v/>
      </c>
      <c r="H223" s="88" t="str">
        <f t="shared" si="10"/>
        <v/>
      </c>
      <c r="I223" s="64" t="str">
        <f t="shared" si="11"/>
        <v/>
      </c>
    </row>
    <row r="224" spans="1:9" x14ac:dyDescent="0.2">
      <c r="A224" s="64"/>
      <c r="B224" s="64"/>
      <c r="C224" s="64"/>
      <c r="D224" s="64"/>
      <c r="E224" s="88"/>
      <c r="F224" s="88"/>
      <c r="G224" s="93" t="str">
        <f t="shared" si="12"/>
        <v/>
      </c>
      <c r="H224" s="88" t="str">
        <f t="shared" si="10"/>
        <v/>
      </c>
      <c r="I224" s="64" t="str">
        <f t="shared" si="11"/>
        <v/>
      </c>
    </row>
    <row r="225" spans="1:9" x14ac:dyDescent="0.2">
      <c r="A225" s="64"/>
      <c r="B225" s="64"/>
      <c r="C225" s="64"/>
      <c r="D225" s="64"/>
      <c r="E225" s="88"/>
      <c r="F225" s="88"/>
      <c r="G225" s="93" t="str">
        <f t="shared" si="12"/>
        <v/>
      </c>
      <c r="H225" s="88" t="str">
        <f t="shared" si="10"/>
        <v/>
      </c>
      <c r="I225" s="64" t="str">
        <f t="shared" si="11"/>
        <v/>
      </c>
    </row>
    <row r="226" spans="1:9" x14ac:dyDescent="0.2">
      <c r="A226" s="64"/>
      <c r="B226" s="64"/>
      <c r="C226" s="64"/>
      <c r="D226" s="64"/>
      <c r="E226" s="88"/>
      <c r="F226" s="88"/>
      <c r="G226" s="93" t="str">
        <f t="shared" si="12"/>
        <v/>
      </c>
      <c r="H226" s="88" t="str">
        <f t="shared" si="10"/>
        <v/>
      </c>
      <c r="I226" s="64" t="str">
        <f t="shared" si="11"/>
        <v/>
      </c>
    </row>
    <row r="227" spans="1:9" x14ac:dyDescent="0.2">
      <c r="A227" s="64"/>
      <c r="B227" s="64"/>
      <c r="C227" s="64"/>
      <c r="D227" s="64"/>
      <c r="E227" s="88"/>
      <c r="F227" s="88"/>
      <c r="G227" s="93" t="str">
        <f t="shared" si="12"/>
        <v/>
      </c>
      <c r="H227" s="88" t="str">
        <f t="shared" si="10"/>
        <v/>
      </c>
      <c r="I227" s="64" t="str">
        <f t="shared" si="11"/>
        <v/>
      </c>
    </row>
    <row r="228" spans="1:9" x14ac:dyDescent="0.2">
      <c r="A228" s="64"/>
      <c r="B228" s="64"/>
      <c r="C228" s="64"/>
      <c r="D228" s="64"/>
      <c r="E228" s="88"/>
      <c r="F228" s="88"/>
      <c r="G228" s="93" t="str">
        <f t="shared" si="12"/>
        <v/>
      </c>
      <c r="H228" s="88" t="str">
        <f t="shared" si="10"/>
        <v/>
      </c>
      <c r="I228" s="64" t="str">
        <f t="shared" si="11"/>
        <v/>
      </c>
    </row>
    <row r="229" spans="1:9" x14ac:dyDescent="0.2">
      <c r="A229" s="64"/>
      <c r="B229" s="64"/>
      <c r="C229" s="64"/>
      <c r="D229" s="64"/>
      <c r="E229" s="88"/>
      <c r="F229" s="88"/>
      <c r="G229" s="93" t="str">
        <f t="shared" si="12"/>
        <v/>
      </c>
      <c r="H229" s="88" t="str">
        <f t="shared" si="10"/>
        <v/>
      </c>
      <c r="I229" s="64" t="str">
        <f t="shared" si="11"/>
        <v/>
      </c>
    </row>
    <row r="230" spans="1:9" x14ac:dyDescent="0.2">
      <c r="A230" s="64"/>
      <c r="B230" s="64"/>
      <c r="C230" s="64"/>
      <c r="D230" s="64"/>
      <c r="E230" s="88"/>
      <c r="F230" s="88"/>
      <c r="G230" s="93" t="str">
        <f t="shared" si="12"/>
        <v/>
      </c>
      <c r="H230" s="88" t="str">
        <f t="shared" si="10"/>
        <v/>
      </c>
      <c r="I230" s="64" t="str">
        <f t="shared" si="11"/>
        <v/>
      </c>
    </row>
    <row r="231" spans="1:9" x14ac:dyDescent="0.2">
      <c r="A231" s="64"/>
      <c r="B231" s="64"/>
      <c r="C231" s="64"/>
      <c r="D231" s="64"/>
      <c r="E231" s="88"/>
      <c r="F231" s="88"/>
      <c r="G231" s="93" t="str">
        <f t="shared" si="12"/>
        <v/>
      </c>
      <c r="H231" s="88" t="str">
        <f t="shared" ref="H231:H294" si="13">IF(OR(AND(B231="", C231="", D231="", F231=""), F231=""), "", B$1/G231)</f>
        <v/>
      </c>
      <c r="I231" s="64" t="str">
        <f t="shared" ref="I231:I294" si="14">IF(OR(AND(B231="", C231="", D231="", F231=""), F231=""), "", IF(H231&lt;=$D$1, "Y", ""))</f>
        <v/>
      </c>
    </row>
    <row r="232" spans="1:9" x14ac:dyDescent="0.2">
      <c r="A232" s="64"/>
      <c r="B232" s="64"/>
      <c r="C232" s="64"/>
      <c r="D232" s="64"/>
      <c r="E232" s="88"/>
      <c r="F232" s="88"/>
      <c r="G232" s="93" t="str">
        <f t="shared" si="12"/>
        <v/>
      </c>
      <c r="H232" s="88" t="str">
        <f t="shared" si="13"/>
        <v/>
      </c>
      <c r="I232" s="64" t="str">
        <f t="shared" si="14"/>
        <v/>
      </c>
    </row>
    <row r="233" spans="1:9" x14ac:dyDescent="0.2">
      <c r="A233" s="64"/>
      <c r="B233" s="64"/>
      <c r="C233" s="64"/>
      <c r="D233" s="64"/>
      <c r="E233" s="88"/>
      <c r="F233" s="88"/>
      <c r="G233" s="93" t="str">
        <f t="shared" si="12"/>
        <v/>
      </c>
      <c r="H233" s="88" t="str">
        <f t="shared" si="13"/>
        <v/>
      </c>
      <c r="I233" s="64" t="str">
        <f t="shared" si="14"/>
        <v/>
      </c>
    </row>
    <row r="234" spans="1:9" x14ac:dyDescent="0.2">
      <c r="A234" s="64"/>
      <c r="B234" s="64"/>
      <c r="C234" s="64"/>
      <c r="D234" s="64"/>
      <c r="E234" s="88"/>
      <c r="F234" s="88"/>
      <c r="G234" s="93" t="str">
        <f t="shared" si="12"/>
        <v/>
      </c>
      <c r="H234" s="88" t="str">
        <f t="shared" si="13"/>
        <v/>
      </c>
      <c r="I234" s="64" t="str">
        <f t="shared" si="14"/>
        <v/>
      </c>
    </row>
    <row r="235" spans="1:9" x14ac:dyDescent="0.2">
      <c r="A235" s="64"/>
      <c r="B235" s="64"/>
      <c r="C235" s="64"/>
      <c r="D235" s="64"/>
      <c r="E235" s="88"/>
      <c r="F235" s="88"/>
      <c r="G235" s="93" t="str">
        <f t="shared" si="12"/>
        <v/>
      </c>
      <c r="H235" s="88" t="str">
        <f t="shared" si="13"/>
        <v/>
      </c>
      <c r="I235" s="64" t="str">
        <f t="shared" si="14"/>
        <v/>
      </c>
    </row>
    <row r="236" spans="1:9" x14ac:dyDescent="0.2">
      <c r="A236" s="64"/>
      <c r="B236" s="64"/>
      <c r="C236" s="64"/>
      <c r="D236" s="64"/>
      <c r="E236" s="88"/>
      <c r="F236" s="88"/>
      <c r="G236" s="93" t="str">
        <f t="shared" si="12"/>
        <v/>
      </c>
      <c r="H236" s="88" t="str">
        <f t="shared" si="13"/>
        <v/>
      </c>
      <c r="I236" s="64" t="str">
        <f t="shared" si="14"/>
        <v/>
      </c>
    </row>
    <row r="237" spans="1:9" x14ac:dyDescent="0.2">
      <c r="A237" s="64"/>
      <c r="B237" s="64"/>
      <c r="C237" s="64"/>
      <c r="D237" s="64"/>
      <c r="E237" s="88"/>
      <c r="F237" s="88"/>
      <c r="G237" s="93" t="str">
        <f t="shared" si="12"/>
        <v/>
      </c>
      <c r="H237" s="88" t="str">
        <f t="shared" si="13"/>
        <v/>
      </c>
      <c r="I237" s="64" t="str">
        <f t="shared" si="14"/>
        <v/>
      </c>
    </row>
    <row r="238" spans="1:9" x14ac:dyDescent="0.2">
      <c r="A238" s="64"/>
      <c r="B238" s="64"/>
      <c r="C238" s="64"/>
      <c r="D238" s="64"/>
      <c r="E238" s="88"/>
      <c r="F238" s="88"/>
      <c r="G238" s="93" t="str">
        <f t="shared" si="12"/>
        <v/>
      </c>
      <c r="H238" s="88" t="str">
        <f t="shared" si="13"/>
        <v/>
      </c>
      <c r="I238" s="64" t="str">
        <f t="shared" si="14"/>
        <v/>
      </c>
    </row>
    <row r="239" spans="1:9" x14ac:dyDescent="0.2">
      <c r="A239" s="64"/>
      <c r="B239" s="64"/>
      <c r="C239" s="64"/>
      <c r="D239" s="64"/>
      <c r="E239" s="88"/>
      <c r="F239" s="88"/>
      <c r="G239" s="93" t="str">
        <f t="shared" si="12"/>
        <v/>
      </c>
      <c r="H239" s="88" t="str">
        <f t="shared" si="13"/>
        <v/>
      </c>
      <c r="I239" s="64" t="str">
        <f t="shared" si="14"/>
        <v/>
      </c>
    </row>
    <row r="240" spans="1:9" x14ac:dyDescent="0.2">
      <c r="A240" s="64"/>
      <c r="B240" s="64"/>
      <c r="C240" s="64"/>
      <c r="D240" s="64"/>
      <c r="E240" s="88"/>
      <c r="F240" s="88"/>
      <c r="G240" s="93" t="str">
        <f t="shared" si="12"/>
        <v/>
      </c>
      <c r="H240" s="88" t="str">
        <f t="shared" si="13"/>
        <v/>
      </c>
      <c r="I240" s="64" t="str">
        <f t="shared" si="14"/>
        <v/>
      </c>
    </row>
    <row r="241" spans="1:9" x14ac:dyDescent="0.2">
      <c r="A241" s="64"/>
      <c r="B241" s="64"/>
      <c r="C241" s="64"/>
      <c r="D241" s="64"/>
      <c r="E241" s="88"/>
      <c r="F241" s="88"/>
      <c r="G241" s="93" t="str">
        <f t="shared" si="12"/>
        <v/>
      </c>
      <c r="H241" s="88" t="str">
        <f t="shared" si="13"/>
        <v/>
      </c>
      <c r="I241" s="64" t="str">
        <f t="shared" si="14"/>
        <v/>
      </c>
    </row>
    <row r="242" spans="1:9" x14ac:dyDescent="0.2">
      <c r="A242" s="64"/>
      <c r="B242" s="64"/>
      <c r="C242" s="64"/>
      <c r="D242" s="64"/>
      <c r="E242" s="88"/>
      <c r="F242" s="88"/>
      <c r="G242" s="93" t="str">
        <f t="shared" si="12"/>
        <v/>
      </c>
      <c r="H242" s="88" t="str">
        <f t="shared" si="13"/>
        <v/>
      </c>
      <c r="I242" s="64" t="str">
        <f t="shared" si="14"/>
        <v/>
      </c>
    </row>
    <row r="243" spans="1:9" x14ac:dyDescent="0.2">
      <c r="A243" s="64"/>
      <c r="B243" s="64"/>
      <c r="C243" s="64"/>
      <c r="D243" s="64"/>
      <c r="E243" s="88"/>
      <c r="F243" s="88"/>
      <c r="G243" s="93" t="str">
        <f t="shared" si="12"/>
        <v/>
      </c>
      <c r="H243" s="88" t="str">
        <f t="shared" si="13"/>
        <v/>
      </c>
      <c r="I243" s="64" t="str">
        <f t="shared" si="14"/>
        <v/>
      </c>
    </row>
    <row r="244" spans="1:9" x14ac:dyDescent="0.2">
      <c r="A244" s="64"/>
      <c r="B244" s="64"/>
      <c r="C244" s="64"/>
      <c r="D244" s="64"/>
      <c r="E244" s="88"/>
      <c r="F244" s="88"/>
      <c r="G244" s="93" t="str">
        <f t="shared" si="12"/>
        <v/>
      </c>
      <c r="H244" s="88" t="str">
        <f t="shared" si="13"/>
        <v/>
      </c>
      <c r="I244" s="64" t="str">
        <f t="shared" si="14"/>
        <v/>
      </c>
    </row>
    <row r="245" spans="1:9" x14ac:dyDescent="0.2">
      <c r="A245" s="64"/>
      <c r="B245" s="64"/>
      <c r="C245" s="64"/>
      <c r="D245" s="64"/>
      <c r="E245" s="88"/>
      <c r="F245" s="88"/>
      <c r="G245" s="93" t="str">
        <f t="shared" si="12"/>
        <v/>
      </c>
      <c r="H245" s="88" t="str">
        <f t="shared" si="13"/>
        <v/>
      </c>
      <c r="I245" s="64" t="str">
        <f t="shared" si="14"/>
        <v/>
      </c>
    </row>
    <row r="246" spans="1:9" x14ac:dyDescent="0.2">
      <c r="A246" s="64"/>
      <c r="B246" s="64"/>
      <c r="C246" s="64"/>
      <c r="D246" s="64"/>
      <c r="E246" s="88"/>
      <c r="F246" s="88"/>
      <c r="G246" s="93" t="str">
        <f t="shared" si="12"/>
        <v/>
      </c>
      <c r="H246" s="88" t="str">
        <f t="shared" si="13"/>
        <v/>
      </c>
      <c r="I246" s="64" t="str">
        <f t="shared" si="14"/>
        <v/>
      </c>
    </row>
    <row r="247" spans="1:9" x14ac:dyDescent="0.2">
      <c r="A247" s="64"/>
      <c r="B247" s="64"/>
      <c r="C247" s="64"/>
      <c r="D247" s="64"/>
      <c r="E247" s="88"/>
      <c r="F247" s="88"/>
      <c r="G247" s="93" t="str">
        <f t="shared" si="12"/>
        <v/>
      </c>
      <c r="H247" s="88" t="str">
        <f t="shared" si="13"/>
        <v/>
      </c>
      <c r="I247" s="64" t="str">
        <f t="shared" si="14"/>
        <v/>
      </c>
    </row>
    <row r="248" spans="1:9" x14ac:dyDescent="0.2">
      <c r="A248" s="64"/>
      <c r="B248" s="64"/>
      <c r="C248" s="64"/>
      <c r="D248" s="64"/>
      <c r="E248" s="88"/>
      <c r="F248" s="88"/>
      <c r="G248" s="93" t="str">
        <f t="shared" si="12"/>
        <v/>
      </c>
      <c r="H248" s="88" t="str">
        <f t="shared" si="13"/>
        <v/>
      </c>
      <c r="I248" s="64" t="str">
        <f t="shared" si="14"/>
        <v/>
      </c>
    </row>
    <row r="249" spans="1:9" x14ac:dyDescent="0.2">
      <c r="A249" s="64"/>
      <c r="B249" s="64"/>
      <c r="C249" s="64"/>
      <c r="D249" s="64"/>
      <c r="E249" s="88"/>
      <c r="F249" s="88"/>
      <c r="G249" s="93" t="str">
        <f t="shared" si="12"/>
        <v/>
      </c>
      <c r="H249" s="88" t="str">
        <f t="shared" si="13"/>
        <v/>
      </c>
      <c r="I249" s="64" t="str">
        <f t="shared" si="14"/>
        <v/>
      </c>
    </row>
    <row r="250" spans="1:9" x14ac:dyDescent="0.2">
      <c r="A250" s="64"/>
      <c r="B250" s="64"/>
      <c r="C250" s="64"/>
      <c r="D250" s="64"/>
      <c r="E250" s="88"/>
      <c r="F250" s="88"/>
      <c r="G250" s="93" t="str">
        <f t="shared" si="12"/>
        <v/>
      </c>
      <c r="H250" s="88" t="str">
        <f t="shared" si="13"/>
        <v/>
      </c>
      <c r="I250" s="64" t="str">
        <f t="shared" si="14"/>
        <v/>
      </c>
    </row>
    <row r="251" spans="1:9" x14ac:dyDescent="0.2">
      <c r="A251" s="64"/>
      <c r="B251" s="64"/>
      <c r="C251" s="64"/>
      <c r="D251" s="64"/>
      <c r="E251" s="88"/>
      <c r="F251" s="88"/>
      <c r="G251" s="93" t="str">
        <f t="shared" si="12"/>
        <v/>
      </c>
      <c r="H251" s="88" t="str">
        <f t="shared" si="13"/>
        <v/>
      </c>
      <c r="I251" s="64" t="str">
        <f t="shared" si="14"/>
        <v/>
      </c>
    </row>
    <row r="252" spans="1:9" x14ac:dyDescent="0.2">
      <c r="A252" s="64"/>
      <c r="B252" s="64"/>
      <c r="C252" s="64"/>
      <c r="D252" s="64"/>
      <c r="E252" s="88"/>
      <c r="F252" s="88"/>
      <c r="G252" s="93" t="str">
        <f t="shared" si="12"/>
        <v/>
      </c>
      <c r="H252" s="88" t="str">
        <f t="shared" si="13"/>
        <v/>
      </c>
      <c r="I252" s="64" t="str">
        <f t="shared" si="14"/>
        <v/>
      </c>
    </row>
    <row r="253" spans="1:9" x14ac:dyDescent="0.2">
      <c r="A253" s="64"/>
      <c r="B253" s="64"/>
      <c r="C253" s="64"/>
      <c r="D253" s="64"/>
      <c r="E253" s="88"/>
      <c r="F253" s="88"/>
      <c r="G253" s="93" t="str">
        <f t="shared" si="12"/>
        <v/>
      </c>
      <c r="H253" s="88" t="str">
        <f t="shared" si="13"/>
        <v/>
      </c>
      <c r="I253" s="64" t="str">
        <f t="shared" si="14"/>
        <v/>
      </c>
    </row>
    <row r="254" spans="1:9" x14ac:dyDescent="0.2">
      <c r="A254" s="64"/>
      <c r="B254" s="64"/>
      <c r="C254" s="64"/>
      <c r="D254" s="64"/>
      <c r="E254" s="88"/>
      <c r="F254" s="88"/>
      <c r="G254" s="93" t="str">
        <f t="shared" si="12"/>
        <v/>
      </c>
      <c r="H254" s="88" t="str">
        <f t="shared" si="13"/>
        <v/>
      </c>
      <c r="I254" s="64" t="str">
        <f t="shared" si="14"/>
        <v/>
      </c>
    </row>
    <row r="255" spans="1:9" x14ac:dyDescent="0.2">
      <c r="A255" s="64"/>
      <c r="B255" s="64"/>
      <c r="C255" s="64"/>
      <c r="D255" s="64"/>
      <c r="E255" s="88"/>
      <c r="F255" s="88"/>
      <c r="G255" s="93" t="str">
        <f t="shared" si="12"/>
        <v/>
      </c>
      <c r="H255" s="88" t="str">
        <f t="shared" si="13"/>
        <v/>
      </c>
      <c r="I255" s="64" t="str">
        <f t="shared" si="14"/>
        <v/>
      </c>
    </row>
    <row r="256" spans="1:9" x14ac:dyDescent="0.2">
      <c r="A256" s="64"/>
      <c r="B256" s="64"/>
      <c r="C256" s="64"/>
      <c r="D256" s="64"/>
      <c r="E256" s="88"/>
      <c r="F256" s="88"/>
      <c r="G256" s="93" t="str">
        <f t="shared" si="12"/>
        <v/>
      </c>
      <c r="H256" s="88" t="str">
        <f t="shared" si="13"/>
        <v/>
      </c>
      <c r="I256" s="64" t="str">
        <f t="shared" si="14"/>
        <v/>
      </c>
    </row>
    <row r="257" spans="1:9" x14ac:dyDescent="0.2">
      <c r="A257" s="64"/>
      <c r="B257" s="64"/>
      <c r="C257" s="64"/>
      <c r="D257" s="64"/>
      <c r="E257" s="88"/>
      <c r="F257" s="88"/>
      <c r="G257" s="93" t="str">
        <f t="shared" si="12"/>
        <v/>
      </c>
      <c r="H257" s="88" t="str">
        <f t="shared" si="13"/>
        <v/>
      </c>
      <c r="I257" s="64" t="str">
        <f t="shared" si="14"/>
        <v/>
      </c>
    </row>
    <row r="258" spans="1:9" x14ac:dyDescent="0.2">
      <c r="A258" s="64"/>
      <c r="B258" s="64"/>
      <c r="C258" s="64"/>
      <c r="D258" s="64"/>
      <c r="E258" s="88"/>
      <c r="F258" s="88"/>
      <c r="G258" s="93" t="str">
        <f t="shared" si="12"/>
        <v/>
      </c>
      <c r="H258" s="88" t="str">
        <f t="shared" si="13"/>
        <v/>
      </c>
      <c r="I258" s="64" t="str">
        <f t="shared" si="14"/>
        <v/>
      </c>
    </row>
    <row r="259" spans="1:9" x14ac:dyDescent="0.2">
      <c r="A259" s="64"/>
      <c r="B259" s="64"/>
      <c r="C259" s="64"/>
      <c r="D259" s="64"/>
      <c r="E259" s="88"/>
      <c r="F259" s="88"/>
      <c r="G259" s="93" t="str">
        <f t="shared" si="12"/>
        <v/>
      </c>
      <c r="H259" s="88" t="str">
        <f t="shared" si="13"/>
        <v/>
      </c>
      <c r="I259" s="64" t="str">
        <f t="shared" si="14"/>
        <v/>
      </c>
    </row>
    <row r="260" spans="1:9" x14ac:dyDescent="0.2">
      <c r="A260" s="64"/>
      <c r="B260" s="64"/>
      <c r="C260" s="64"/>
      <c r="D260" s="64"/>
      <c r="E260" s="88"/>
      <c r="F260" s="88"/>
      <c r="G260" s="93" t="str">
        <f t="shared" si="12"/>
        <v/>
      </c>
      <c r="H260" s="88" t="str">
        <f t="shared" si="13"/>
        <v/>
      </c>
      <c r="I260" s="64" t="str">
        <f t="shared" si="14"/>
        <v/>
      </c>
    </row>
    <row r="261" spans="1:9" x14ac:dyDescent="0.2">
      <c r="A261" s="64"/>
      <c r="B261" s="64"/>
      <c r="C261" s="64"/>
      <c r="D261" s="64"/>
      <c r="E261" s="88"/>
      <c r="F261" s="88"/>
      <c r="G261" s="93" t="str">
        <f t="shared" si="12"/>
        <v/>
      </c>
      <c r="H261" s="88" t="str">
        <f t="shared" si="13"/>
        <v/>
      </c>
      <c r="I261" s="64" t="str">
        <f t="shared" si="14"/>
        <v/>
      </c>
    </row>
    <row r="262" spans="1:9" x14ac:dyDescent="0.2">
      <c r="A262" s="64"/>
      <c r="B262" s="64"/>
      <c r="C262" s="64"/>
      <c r="D262" s="64"/>
      <c r="E262" s="88"/>
      <c r="F262" s="88"/>
      <c r="G262" s="93" t="str">
        <f t="shared" ref="G262:G282" si="15">IF(OR(AND(B262="", C262="", D262="", F262= ""), F262=""), "", F262/10^6)</f>
        <v/>
      </c>
      <c r="H262" s="88" t="str">
        <f t="shared" si="13"/>
        <v/>
      </c>
      <c r="I262" s="64" t="str">
        <f t="shared" si="14"/>
        <v/>
      </c>
    </row>
    <row r="263" spans="1:9" x14ac:dyDescent="0.2">
      <c r="A263" s="64"/>
      <c r="B263" s="64"/>
      <c r="C263" s="64"/>
      <c r="D263" s="64"/>
      <c r="E263" s="88"/>
      <c r="F263" s="88"/>
      <c r="G263" s="93" t="str">
        <f t="shared" si="15"/>
        <v/>
      </c>
      <c r="H263" s="88" t="str">
        <f t="shared" si="13"/>
        <v/>
      </c>
      <c r="I263" s="64" t="str">
        <f t="shared" si="14"/>
        <v/>
      </c>
    </row>
    <row r="264" spans="1:9" x14ac:dyDescent="0.2">
      <c r="A264" s="64"/>
      <c r="B264" s="64"/>
      <c r="C264" s="64"/>
      <c r="D264" s="64"/>
      <c r="E264" s="88"/>
      <c r="F264" s="88"/>
      <c r="G264" s="93" t="str">
        <f t="shared" si="15"/>
        <v/>
      </c>
      <c r="H264" s="88" t="str">
        <f t="shared" si="13"/>
        <v/>
      </c>
      <c r="I264" s="64" t="str">
        <f t="shared" si="14"/>
        <v/>
      </c>
    </row>
    <row r="265" spans="1:9" x14ac:dyDescent="0.2">
      <c r="A265" s="64"/>
      <c r="B265" s="64"/>
      <c r="C265" s="64"/>
      <c r="D265" s="64"/>
      <c r="E265" s="88"/>
      <c r="F265" s="88"/>
      <c r="G265" s="93" t="str">
        <f t="shared" si="15"/>
        <v/>
      </c>
      <c r="H265" s="88" t="str">
        <f t="shared" si="13"/>
        <v/>
      </c>
      <c r="I265" s="64" t="str">
        <f t="shared" si="14"/>
        <v/>
      </c>
    </row>
    <row r="266" spans="1:9" x14ac:dyDescent="0.2">
      <c r="A266" s="64"/>
      <c r="B266" s="64"/>
      <c r="C266" s="64"/>
      <c r="D266" s="64"/>
      <c r="E266" s="88"/>
      <c r="F266" s="88"/>
      <c r="G266" s="93" t="str">
        <f t="shared" si="15"/>
        <v/>
      </c>
      <c r="H266" s="88" t="str">
        <f t="shared" si="13"/>
        <v/>
      </c>
      <c r="I266" s="64" t="str">
        <f t="shared" si="14"/>
        <v/>
      </c>
    </row>
    <row r="267" spans="1:9" x14ac:dyDescent="0.2">
      <c r="A267" s="64"/>
      <c r="B267" s="64"/>
      <c r="C267" s="64"/>
      <c r="D267" s="64"/>
      <c r="E267" s="88"/>
      <c r="F267" s="88"/>
      <c r="G267" s="93" t="str">
        <f t="shared" si="15"/>
        <v/>
      </c>
      <c r="H267" s="88" t="str">
        <f t="shared" si="13"/>
        <v/>
      </c>
      <c r="I267" s="64" t="str">
        <f t="shared" si="14"/>
        <v/>
      </c>
    </row>
    <row r="268" spans="1:9" x14ac:dyDescent="0.2">
      <c r="A268" s="64"/>
      <c r="B268" s="64"/>
      <c r="C268" s="64"/>
      <c r="D268" s="64"/>
      <c r="E268" s="88"/>
      <c r="F268" s="88"/>
      <c r="G268" s="93" t="str">
        <f t="shared" si="15"/>
        <v/>
      </c>
      <c r="H268" s="88" t="str">
        <f t="shared" si="13"/>
        <v/>
      </c>
      <c r="I268" s="64" t="str">
        <f t="shared" si="14"/>
        <v/>
      </c>
    </row>
    <row r="269" spans="1:9" x14ac:dyDescent="0.2">
      <c r="A269" s="64"/>
      <c r="B269" s="64"/>
      <c r="C269" s="64"/>
      <c r="D269" s="64"/>
      <c r="E269" s="88"/>
      <c r="F269" s="88"/>
      <c r="G269" s="93" t="str">
        <f t="shared" si="15"/>
        <v/>
      </c>
      <c r="H269" s="88" t="str">
        <f t="shared" si="13"/>
        <v/>
      </c>
      <c r="I269" s="64" t="str">
        <f t="shared" si="14"/>
        <v/>
      </c>
    </row>
    <row r="270" spans="1:9" x14ac:dyDescent="0.2">
      <c r="A270" s="64"/>
      <c r="B270" s="64"/>
      <c r="C270" s="64"/>
      <c r="D270" s="64"/>
      <c r="E270" s="88"/>
      <c r="F270" s="88"/>
      <c r="G270" s="93" t="str">
        <f t="shared" si="15"/>
        <v/>
      </c>
      <c r="H270" s="88" t="str">
        <f t="shared" si="13"/>
        <v/>
      </c>
      <c r="I270" s="64" t="str">
        <f t="shared" si="14"/>
        <v/>
      </c>
    </row>
    <row r="271" spans="1:9" x14ac:dyDescent="0.2">
      <c r="A271" s="64"/>
      <c r="B271" s="64"/>
      <c r="C271" s="64"/>
      <c r="D271" s="64"/>
      <c r="E271" s="88"/>
      <c r="F271" s="88"/>
      <c r="G271" s="93" t="str">
        <f t="shared" si="15"/>
        <v/>
      </c>
      <c r="H271" s="88" t="str">
        <f t="shared" si="13"/>
        <v/>
      </c>
      <c r="I271" s="64" t="str">
        <f t="shared" si="14"/>
        <v/>
      </c>
    </row>
    <row r="272" spans="1:9" x14ac:dyDescent="0.2">
      <c r="A272" s="64"/>
      <c r="B272" s="64"/>
      <c r="C272" s="64"/>
      <c r="D272" s="64"/>
      <c r="E272" s="88"/>
      <c r="F272" s="88"/>
      <c r="G272" s="93" t="str">
        <f t="shared" si="15"/>
        <v/>
      </c>
      <c r="H272" s="88" t="str">
        <f t="shared" si="13"/>
        <v/>
      </c>
      <c r="I272" s="64" t="str">
        <f t="shared" si="14"/>
        <v/>
      </c>
    </row>
    <row r="273" spans="1:9" x14ac:dyDescent="0.2">
      <c r="A273" s="64"/>
      <c r="B273" s="64"/>
      <c r="C273" s="64"/>
      <c r="D273" s="64"/>
      <c r="E273" s="88"/>
      <c r="F273" s="88"/>
      <c r="G273" s="93" t="str">
        <f t="shared" si="15"/>
        <v/>
      </c>
      <c r="H273" s="88" t="str">
        <f t="shared" si="13"/>
        <v/>
      </c>
      <c r="I273" s="64" t="str">
        <f t="shared" si="14"/>
        <v/>
      </c>
    </row>
    <row r="274" spans="1:9" x14ac:dyDescent="0.2">
      <c r="A274" s="64"/>
      <c r="B274" s="64"/>
      <c r="C274" s="64"/>
      <c r="D274" s="64"/>
      <c r="E274" s="88"/>
      <c r="F274" s="88"/>
      <c r="G274" s="93" t="str">
        <f t="shared" si="15"/>
        <v/>
      </c>
      <c r="H274" s="88" t="str">
        <f t="shared" si="13"/>
        <v/>
      </c>
      <c r="I274" s="64" t="str">
        <f t="shared" si="14"/>
        <v/>
      </c>
    </row>
    <row r="275" spans="1:9" x14ac:dyDescent="0.2">
      <c r="A275" s="64"/>
      <c r="B275" s="64"/>
      <c r="C275" s="64"/>
      <c r="D275" s="64"/>
      <c r="E275" s="88"/>
      <c r="F275" s="88"/>
      <c r="G275" s="93" t="str">
        <f t="shared" si="15"/>
        <v/>
      </c>
      <c r="H275" s="88" t="str">
        <f t="shared" si="13"/>
        <v/>
      </c>
      <c r="I275" s="64" t="str">
        <f t="shared" si="14"/>
        <v/>
      </c>
    </row>
    <row r="276" spans="1:9" x14ac:dyDescent="0.2">
      <c r="A276" s="64"/>
      <c r="B276" s="64"/>
      <c r="C276" s="64"/>
      <c r="D276" s="64"/>
      <c r="E276" s="88"/>
      <c r="F276" s="88"/>
      <c r="G276" s="93" t="str">
        <f t="shared" si="15"/>
        <v/>
      </c>
      <c r="H276" s="88" t="str">
        <f t="shared" si="13"/>
        <v/>
      </c>
      <c r="I276" s="64" t="str">
        <f t="shared" si="14"/>
        <v/>
      </c>
    </row>
    <row r="277" spans="1:9" x14ac:dyDescent="0.2">
      <c r="A277" s="64"/>
      <c r="B277" s="64"/>
      <c r="C277" s="64"/>
      <c r="D277" s="64"/>
      <c r="E277" s="88"/>
      <c r="F277" s="88"/>
      <c r="G277" s="93" t="str">
        <f t="shared" si="15"/>
        <v/>
      </c>
      <c r="H277" s="88" t="str">
        <f t="shared" si="13"/>
        <v/>
      </c>
      <c r="I277" s="64" t="str">
        <f t="shared" si="14"/>
        <v/>
      </c>
    </row>
    <row r="278" spans="1:9" x14ac:dyDescent="0.2">
      <c r="A278" s="64"/>
      <c r="B278" s="64"/>
      <c r="C278" s="64"/>
      <c r="D278" s="64"/>
      <c r="E278" s="88"/>
      <c r="F278" s="88"/>
      <c r="G278" s="93" t="str">
        <f t="shared" si="15"/>
        <v/>
      </c>
      <c r="H278" s="88" t="str">
        <f t="shared" si="13"/>
        <v/>
      </c>
      <c r="I278" s="64" t="str">
        <f t="shared" si="14"/>
        <v/>
      </c>
    </row>
    <row r="279" spans="1:9" x14ac:dyDescent="0.2">
      <c r="A279" s="64"/>
      <c r="B279" s="64"/>
      <c r="C279" s="64"/>
      <c r="D279" s="64"/>
      <c r="E279" s="88"/>
      <c r="F279" s="88"/>
      <c r="G279" s="93" t="str">
        <f t="shared" si="15"/>
        <v/>
      </c>
      <c r="H279" s="88" t="str">
        <f t="shared" si="13"/>
        <v/>
      </c>
      <c r="I279" s="64" t="str">
        <f t="shared" si="14"/>
        <v/>
      </c>
    </row>
    <row r="280" spans="1:9" x14ac:dyDescent="0.2">
      <c r="A280" s="64"/>
      <c r="B280" s="64"/>
      <c r="C280" s="64"/>
      <c r="D280" s="64"/>
      <c r="E280" s="88"/>
      <c r="F280" s="88"/>
      <c r="G280" s="93" t="str">
        <f t="shared" si="15"/>
        <v/>
      </c>
      <c r="H280" s="88" t="str">
        <f t="shared" si="13"/>
        <v/>
      </c>
      <c r="I280" s="64" t="str">
        <f t="shared" si="14"/>
        <v/>
      </c>
    </row>
    <row r="281" spans="1:9" x14ac:dyDescent="0.2">
      <c r="A281" s="64"/>
      <c r="B281" s="64"/>
      <c r="C281" s="64"/>
      <c r="D281" s="64"/>
      <c r="E281" s="88"/>
      <c r="F281" s="88"/>
      <c r="G281" s="93" t="str">
        <f t="shared" si="15"/>
        <v/>
      </c>
      <c r="H281" s="88" t="str">
        <f t="shared" si="13"/>
        <v/>
      </c>
      <c r="I281" s="64" t="str">
        <f t="shared" si="14"/>
        <v/>
      </c>
    </row>
    <row r="282" spans="1:9" x14ac:dyDescent="0.2">
      <c r="A282" s="64"/>
      <c r="B282" s="64"/>
      <c r="C282" s="64"/>
      <c r="D282" s="64"/>
      <c r="E282" s="88"/>
      <c r="F282" s="88"/>
      <c r="G282" s="93" t="str">
        <f t="shared" si="15"/>
        <v/>
      </c>
      <c r="H282" s="88" t="str">
        <f t="shared" si="13"/>
        <v/>
      </c>
      <c r="I282" s="64" t="str">
        <f t="shared" si="14"/>
        <v/>
      </c>
    </row>
    <row r="283" spans="1:9" x14ac:dyDescent="0.2">
      <c r="A283" s="64"/>
      <c r="B283" s="64"/>
      <c r="C283" s="64"/>
      <c r="D283" s="64"/>
      <c r="E283" s="88"/>
      <c r="F283" s="88"/>
      <c r="G283" s="93" t="str">
        <f t="shared" ref="G283:G346" si="16">IF(OR(AND(B283="", C283="", D283="", F283= ""), F283=""), "", F283/10^6)</f>
        <v/>
      </c>
      <c r="H283" s="88" t="str">
        <f t="shared" si="13"/>
        <v/>
      </c>
      <c r="I283" s="64" t="str">
        <f t="shared" si="14"/>
        <v/>
      </c>
    </row>
    <row r="284" spans="1:9" x14ac:dyDescent="0.2">
      <c r="A284" s="64"/>
      <c r="B284" s="64"/>
      <c r="C284" s="64"/>
      <c r="D284" s="64"/>
      <c r="E284" s="88"/>
      <c r="F284" s="88"/>
      <c r="G284" s="93" t="str">
        <f t="shared" si="16"/>
        <v/>
      </c>
      <c r="H284" s="88" t="str">
        <f t="shared" si="13"/>
        <v/>
      </c>
      <c r="I284" s="64" t="str">
        <f t="shared" si="14"/>
        <v/>
      </c>
    </row>
    <row r="285" spans="1:9" x14ac:dyDescent="0.2">
      <c r="A285" s="64"/>
      <c r="B285" s="64"/>
      <c r="C285" s="64"/>
      <c r="D285" s="64"/>
      <c r="E285" s="88"/>
      <c r="F285" s="88"/>
      <c r="G285" s="93" t="str">
        <f t="shared" si="16"/>
        <v/>
      </c>
      <c r="H285" s="88" t="str">
        <f t="shared" si="13"/>
        <v/>
      </c>
      <c r="I285" s="64" t="str">
        <f t="shared" si="14"/>
        <v/>
      </c>
    </row>
    <row r="286" spans="1:9" x14ac:dyDescent="0.2">
      <c r="A286" s="64"/>
      <c r="B286" s="64"/>
      <c r="C286" s="64"/>
      <c r="D286" s="64"/>
      <c r="E286" s="88"/>
      <c r="F286" s="88"/>
      <c r="G286" s="93" t="str">
        <f t="shared" si="16"/>
        <v/>
      </c>
      <c r="H286" s="88" t="str">
        <f t="shared" si="13"/>
        <v/>
      </c>
      <c r="I286" s="64" t="str">
        <f t="shared" si="14"/>
        <v/>
      </c>
    </row>
    <row r="287" spans="1:9" x14ac:dyDescent="0.2">
      <c r="A287" s="64"/>
      <c r="B287" s="64"/>
      <c r="C287" s="64"/>
      <c r="D287" s="64"/>
      <c r="E287" s="88"/>
      <c r="F287" s="88"/>
      <c r="G287" s="93" t="str">
        <f t="shared" si="16"/>
        <v/>
      </c>
      <c r="H287" s="88" t="str">
        <f t="shared" si="13"/>
        <v/>
      </c>
      <c r="I287" s="64" t="str">
        <f t="shared" si="14"/>
        <v/>
      </c>
    </row>
    <row r="288" spans="1:9" x14ac:dyDescent="0.2">
      <c r="A288" s="64"/>
      <c r="B288" s="64"/>
      <c r="C288" s="64"/>
      <c r="D288" s="64"/>
      <c r="E288" s="88"/>
      <c r="F288" s="88"/>
      <c r="G288" s="93" t="str">
        <f t="shared" si="16"/>
        <v/>
      </c>
      <c r="H288" s="88" t="str">
        <f t="shared" si="13"/>
        <v/>
      </c>
      <c r="I288" s="64" t="str">
        <f t="shared" si="14"/>
        <v/>
      </c>
    </row>
    <row r="289" spans="1:9" x14ac:dyDescent="0.2">
      <c r="A289" s="64"/>
      <c r="B289" s="64"/>
      <c r="C289" s="64"/>
      <c r="D289" s="64"/>
      <c r="E289" s="88"/>
      <c r="F289" s="88"/>
      <c r="G289" s="93" t="str">
        <f t="shared" si="16"/>
        <v/>
      </c>
      <c r="H289" s="88" t="str">
        <f t="shared" si="13"/>
        <v/>
      </c>
      <c r="I289" s="64" t="str">
        <f t="shared" si="14"/>
        <v/>
      </c>
    </row>
    <row r="290" spans="1:9" x14ac:dyDescent="0.2">
      <c r="A290" s="64"/>
      <c r="B290" s="64"/>
      <c r="C290" s="64"/>
      <c r="D290" s="64"/>
      <c r="E290" s="88"/>
      <c r="F290" s="88"/>
      <c r="G290" s="93" t="str">
        <f t="shared" si="16"/>
        <v/>
      </c>
      <c r="H290" s="88" t="str">
        <f t="shared" si="13"/>
        <v/>
      </c>
      <c r="I290" s="64" t="str">
        <f t="shared" si="14"/>
        <v/>
      </c>
    </row>
    <row r="291" spans="1:9" x14ac:dyDescent="0.2">
      <c r="A291" s="64"/>
      <c r="B291" s="64"/>
      <c r="C291" s="64"/>
      <c r="D291" s="64"/>
      <c r="E291" s="88"/>
      <c r="F291" s="88"/>
      <c r="G291" s="93" t="str">
        <f t="shared" si="16"/>
        <v/>
      </c>
      <c r="H291" s="88" t="str">
        <f t="shared" si="13"/>
        <v/>
      </c>
      <c r="I291" s="64" t="str">
        <f t="shared" si="14"/>
        <v/>
      </c>
    </row>
    <row r="292" spans="1:9" x14ac:dyDescent="0.2">
      <c r="A292" s="64"/>
      <c r="B292" s="64"/>
      <c r="C292" s="64"/>
      <c r="D292" s="64"/>
      <c r="E292" s="88"/>
      <c r="F292" s="88"/>
      <c r="G292" s="93" t="str">
        <f t="shared" si="16"/>
        <v/>
      </c>
      <c r="H292" s="88" t="str">
        <f t="shared" si="13"/>
        <v/>
      </c>
      <c r="I292" s="64" t="str">
        <f t="shared" si="14"/>
        <v/>
      </c>
    </row>
    <row r="293" spans="1:9" x14ac:dyDescent="0.2">
      <c r="A293" s="64"/>
      <c r="B293" s="64"/>
      <c r="C293" s="64"/>
      <c r="D293" s="64"/>
      <c r="E293" s="88"/>
      <c r="F293" s="88"/>
      <c r="G293" s="93" t="str">
        <f t="shared" si="16"/>
        <v/>
      </c>
      <c r="H293" s="88" t="str">
        <f t="shared" si="13"/>
        <v/>
      </c>
      <c r="I293" s="64" t="str">
        <f t="shared" si="14"/>
        <v/>
      </c>
    </row>
    <row r="294" spans="1:9" x14ac:dyDescent="0.2">
      <c r="A294" s="64"/>
      <c r="B294" s="64"/>
      <c r="C294" s="64"/>
      <c r="D294" s="64"/>
      <c r="E294" s="88"/>
      <c r="F294" s="88"/>
      <c r="G294" s="93" t="str">
        <f t="shared" si="16"/>
        <v/>
      </c>
      <c r="H294" s="88" t="str">
        <f t="shared" si="13"/>
        <v/>
      </c>
      <c r="I294" s="64" t="str">
        <f t="shared" si="14"/>
        <v/>
      </c>
    </row>
    <row r="295" spans="1:9" x14ac:dyDescent="0.2">
      <c r="A295" s="64"/>
      <c r="B295" s="64"/>
      <c r="C295" s="64"/>
      <c r="D295" s="64"/>
      <c r="E295" s="88"/>
      <c r="F295" s="88"/>
      <c r="G295" s="93" t="str">
        <f t="shared" si="16"/>
        <v/>
      </c>
      <c r="H295" s="88" t="str">
        <f t="shared" ref="H295:H358" si="17">IF(OR(AND(B295="", C295="", D295="", F295=""), F295=""), "", B$1/G295)</f>
        <v/>
      </c>
      <c r="I295" s="64" t="str">
        <f t="shared" ref="I295:I358" si="18">IF(OR(AND(B295="", C295="", D295="", F295=""), F295=""), "", IF(H295&lt;=$D$1, "Y", ""))</f>
        <v/>
      </c>
    </row>
    <row r="296" spans="1:9" x14ac:dyDescent="0.2">
      <c r="A296" s="64"/>
      <c r="B296" s="64"/>
      <c r="C296" s="64"/>
      <c r="D296" s="64"/>
      <c r="E296" s="88"/>
      <c r="F296" s="88"/>
      <c r="G296" s="93" t="str">
        <f t="shared" si="16"/>
        <v/>
      </c>
      <c r="H296" s="88" t="str">
        <f t="shared" si="17"/>
        <v/>
      </c>
      <c r="I296" s="64" t="str">
        <f t="shared" si="18"/>
        <v/>
      </c>
    </row>
    <row r="297" spans="1:9" x14ac:dyDescent="0.2">
      <c r="A297" s="64"/>
      <c r="B297" s="64"/>
      <c r="C297" s="64"/>
      <c r="D297" s="64"/>
      <c r="E297" s="88"/>
      <c r="F297" s="88"/>
      <c r="G297" s="93" t="str">
        <f t="shared" si="16"/>
        <v/>
      </c>
      <c r="H297" s="88" t="str">
        <f t="shared" si="17"/>
        <v/>
      </c>
      <c r="I297" s="64" t="str">
        <f t="shared" si="18"/>
        <v/>
      </c>
    </row>
    <row r="298" spans="1:9" x14ac:dyDescent="0.2">
      <c r="A298" s="64"/>
      <c r="B298" s="64"/>
      <c r="C298" s="64"/>
      <c r="D298" s="64"/>
      <c r="E298" s="88"/>
      <c r="F298" s="88"/>
      <c r="G298" s="93" t="str">
        <f t="shared" si="16"/>
        <v/>
      </c>
      <c r="H298" s="88" t="str">
        <f t="shared" si="17"/>
        <v/>
      </c>
      <c r="I298" s="64" t="str">
        <f t="shared" si="18"/>
        <v/>
      </c>
    </row>
    <row r="299" spans="1:9" x14ac:dyDescent="0.2">
      <c r="A299" s="64"/>
      <c r="B299" s="64"/>
      <c r="C299" s="64"/>
      <c r="D299" s="64"/>
      <c r="E299" s="88"/>
      <c r="F299" s="88"/>
      <c r="G299" s="93" t="str">
        <f t="shared" si="16"/>
        <v/>
      </c>
      <c r="H299" s="88" t="str">
        <f t="shared" si="17"/>
        <v/>
      </c>
      <c r="I299" s="64" t="str">
        <f t="shared" si="18"/>
        <v/>
      </c>
    </row>
    <row r="300" spans="1:9" x14ac:dyDescent="0.2">
      <c r="A300" s="64"/>
      <c r="B300" s="64"/>
      <c r="C300" s="64"/>
      <c r="D300" s="64"/>
      <c r="E300" s="88"/>
      <c r="F300" s="88"/>
      <c r="G300" s="93" t="str">
        <f t="shared" si="16"/>
        <v/>
      </c>
      <c r="H300" s="88" t="str">
        <f t="shared" si="17"/>
        <v/>
      </c>
      <c r="I300" s="64" t="str">
        <f t="shared" si="18"/>
        <v/>
      </c>
    </row>
    <row r="301" spans="1:9" x14ac:dyDescent="0.2">
      <c r="A301" s="64"/>
      <c r="B301" s="64"/>
      <c r="C301" s="64"/>
      <c r="D301" s="64"/>
      <c r="E301" s="88"/>
      <c r="F301" s="88"/>
      <c r="G301" s="93" t="str">
        <f t="shared" si="16"/>
        <v/>
      </c>
      <c r="H301" s="88" t="str">
        <f t="shared" si="17"/>
        <v/>
      </c>
      <c r="I301" s="64" t="str">
        <f t="shared" si="18"/>
        <v/>
      </c>
    </row>
    <row r="302" spans="1:9" x14ac:dyDescent="0.2">
      <c r="A302" s="64"/>
      <c r="B302" s="64"/>
      <c r="C302" s="64"/>
      <c r="D302" s="64"/>
      <c r="E302" s="88"/>
      <c r="F302" s="88"/>
      <c r="G302" s="93" t="str">
        <f t="shared" si="16"/>
        <v/>
      </c>
      <c r="H302" s="88" t="str">
        <f t="shared" si="17"/>
        <v/>
      </c>
      <c r="I302" s="64" t="str">
        <f t="shared" si="18"/>
        <v/>
      </c>
    </row>
    <row r="303" spans="1:9" x14ac:dyDescent="0.2">
      <c r="A303" s="64"/>
      <c r="B303" s="64"/>
      <c r="C303" s="64"/>
      <c r="D303" s="64"/>
      <c r="E303" s="88"/>
      <c r="F303" s="88"/>
      <c r="G303" s="93" t="str">
        <f t="shared" si="16"/>
        <v/>
      </c>
      <c r="H303" s="88" t="str">
        <f t="shared" si="17"/>
        <v/>
      </c>
      <c r="I303" s="64" t="str">
        <f t="shared" si="18"/>
        <v/>
      </c>
    </row>
    <row r="304" spans="1:9" x14ac:dyDescent="0.2">
      <c r="A304" s="64"/>
      <c r="B304" s="64"/>
      <c r="C304" s="64"/>
      <c r="D304" s="64"/>
      <c r="E304" s="88"/>
      <c r="F304" s="88"/>
      <c r="G304" s="93" t="str">
        <f t="shared" si="16"/>
        <v/>
      </c>
      <c r="H304" s="88" t="str">
        <f t="shared" si="17"/>
        <v/>
      </c>
      <c r="I304" s="64" t="str">
        <f t="shared" si="18"/>
        <v/>
      </c>
    </row>
    <row r="305" spans="1:9" x14ac:dyDescent="0.2">
      <c r="A305" s="64"/>
      <c r="B305" s="64"/>
      <c r="C305" s="64"/>
      <c r="D305" s="64"/>
      <c r="E305" s="88"/>
      <c r="F305" s="88"/>
      <c r="G305" s="93" t="str">
        <f t="shared" si="16"/>
        <v/>
      </c>
      <c r="H305" s="88" t="str">
        <f t="shared" si="17"/>
        <v/>
      </c>
      <c r="I305" s="64" t="str">
        <f t="shared" si="18"/>
        <v/>
      </c>
    </row>
    <row r="306" spans="1:9" x14ac:dyDescent="0.2">
      <c r="A306" s="64"/>
      <c r="B306" s="64"/>
      <c r="C306" s="64"/>
      <c r="D306" s="64"/>
      <c r="E306" s="88"/>
      <c r="F306" s="88"/>
      <c r="G306" s="93" t="str">
        <f t="shared" si="16"/>
        <v/>
      </c>
      <c r="H306" s="88" t="str">
        <f t="shared" si="17"/>
        <v/>
      </c>
      <c r="I306" s="64" t="str">
        <f t="shared" si="18"/>
        <v/>
      </c>
    </row>
    <row r="307" spans="1:9" x14ac:dyDescent="0.2">
      <c r="A307" s="64"/>
      <c r="B307" s="64"/>
      <c r="C307" s="64"/>
      <c r="D307" s="64"/>
      <c r="E307" s="88"/>
      <c r="F307" s="88"/>
      <c r="G307" s="93" t="str">
        <f t="shared" si="16"/>
        <v/>
      </c>
      <c r="H307" s="88" t="str">
        <f t="shared" si="17"/>
        <v/>
      </c>
      <c r="I307" s="64" t="str">
        <f t="shared" si="18"/>
        <v/>
      </c>
    </row>
    <row r="308" spans="1:9" x14ac:dyDescent="0.2">
      <c r="A308" s="64"/>
      <c r="B308" s="64"/>
      <c r="C308" s="64"/>
      <c r="D308" s="64"/>
      <c r="E308" s="88"/>
      <c r="F308" s="88"/>
      <c r="G308" s="93" t="str">
        <f t="shared" si="16"/>
        <v/>
      </c>
      <c r="H308" s="88" t="str">
        <f t="shared" si="17"/>
        <v/>
      </c>
      <c r="I308" s="64" t="str">
        <f t="shared" si="18"/>
        <v/>
      </c>
    </row>
    <row r="309" spans="1:9" x14ac:dyDescent="0.2">
      <c r="A309" s="64"/>
      <c r="B309" s="64"/>
      <c r="C309" s="64"/>
      <c r="D309" s="64"/>
      <c r="E309" s="88"/>
      <c r="F309" s="88"/>
      <c r="G309" s="93" t="str">
        <f t="shared" si="16"/>
        <v/>
      </c>
      <c r="H309" s="88" t="str">
        <f t="shared" si="17"/>
        <v/>
      </c>
      <c r="I309" s="64" t="str">
        <f t="shared" si="18"/>
        <v/>
      </c>
    </row>
    <row r="310" spans="1:9" x14ac:dyDescent="0.2">
      <c r="A310" s="64"/>
      <c r="B310" s="64"/>
      <c r="C310" s="64"/>
      <c r="D310" s="64"/>
      <c r="E310" s="88"/>
      <c r="F310" s="88"/>
      <c r="G310" s="93" t="str">
        <f t="shared" si="16"/>
        <v/>
      </c>
      <c r="H310" s="88" t="str">
        <f t="shared" si="17"/>
        <v/>
      </c>
      <c r="I310" s="64" t="str">
        <f t="shared" si="18"/>
        <v/>
      </c>
    </row>
    <row r="311" spans="1:9" x14ac:dyDescent="0.2">
      <c r="A311" s="64"/>
      <c r="B311" s="64"/>
      <c r="C311" s="64"/>
      <c r="D311" s="64"/>
      <c r="E311" s="88"/>
      <c r="F311" s="88"/>
      <c r="G311" s="93" t="str">
        <f t="shared" si="16"/>
        <v/>
      </c>
      <c r="H311" s="88" t="str">
        <f t="shared" si="17"/>
        <v/>
      </c>
      <c r="I311" s="64" t="str">
        <f t="shared" si="18"/>
        <v/>
      </c>
    </row>
    <row r="312" spans="1:9" x14ac:dyDescent="0.2">
      <c r="A312" s="64"/>
      <c r="B312" s="64"/>
      <c r="C312" s="64"/>
      <c r="D312" s="64"/>
      <c r="E312" s="88"/>
      <c r="F312" s="88"/>
      <c r="G312" s="93" t="str">
        <f t="shared" si="16"/>
        <v/>
      </c>
      <c r="H312" s="88" t="str">
        <f t="shared" si="17"/>
        <v/>
      </c>
      <c r="I312" s="64" t="str">
        <f t="shared" si="18"/>
        <v/>
      </c>
    </row>
    <row r="313" spans="1:9" x14ac:dyDescent="0.2">
      <c r="A313" s="64"/>
      <c r="B313" s="64"/>
      <c r="C313" s="64"/>
      <c r="D313" s="64"/>
      <c r="E313" s="88"/>
      <c r="F313" s="88"/>
      <c r="G313" s="93" t="str">
        <f t="shared" si="16"/>
        <v/>
      </c>
      <c r="H313" s="88" t="str">
        <f t="shared" si="17"/>
        <v/>
      </c>
      <c r="I313" s="64" t="str">
        <f t="shared" si="18"/>
        <v/>
      </c>
    </row>
    <row r="314" spans="1:9" x14ac:dyDescent="0.2">
      <c r="A314" s="64"/>
      <c r="B314" s="64"/>
      <c r="C314" s="64"/>
      <c r="D314" s="64"/>
      <c r="E314" s="88"/>
      <c r="F314" s="88"/>
      <c r="G314" s="93" t="str">
        <f t="shared" si="16"/>
        <v/>
      </c>
      <c r="H314" s="88" t="str">
        <f t="shared" si="17"/>
        <v/>
      </c>
      <c r="I314" s="64" t="str">
        <f t="shared" si="18"/>
        <v/>
      </c>
    </row>
    <row r="315" spans="1:9" x14ac:dyDescent="0.2">
      <c r="A315" s="64"/>
      <c r="B315" s="64"/>
      <c r="C315" s="64"/>
      <c r="D315" s="64"/>
      <c r="E315" s="88"/>
      <c r="F315" s="88"/>
      <c r="G315" s="93" t="str">
        <f t="shared" si="16"/>
        <v/>
      </c>
      <c r="H315" s="88" t="str">
        <f t="shared" si="17"/>
        <v/>
      </c>
      <c r="I315" s="64" t="str">
        <f t="shared" si="18"/>
        <v/>
      </c>
    </row>
    <row r="316" spans="1:9" x14ac:dyDescent="0.2">
      <c r="A316" s="64"/>
      <c r="B316" s="64"/>
      <c r="C316" s="64"/>
      <c r="D316" s="64"/>
      <c r="E316" s="88"/>
      <c r="F316" s="88"/>
      <c r="G316" s="93" t="str">
        <f t="shared" si="16"/>
        <v/>
      </c>
      <c r="H316" s="88" t="str">
        <f t="shared" si="17"/>
        <v/>
      </c>
      <c r="I316" s="64" t="str">
        <f t="shared" si="18"/>
        <v/>
      </c>
    </row>
    <row r="317" spans="1:9" x14ac:dyDescent="0.2">
      <c r="A317" s="64"/>
      <c r="B317" s="64"/>
      <c r="C317" s="64"/>
      <c r="D317" s="64"/>
      <c r="E317" s="88"/>
      <c r="F317" s="88"/>
      <c r="G317" s="93" t="str">
        <f t="shared" si="16"/>
        <v/>
      </c>
      <c r="H317" s="88" t="str">
        <f t="shared" si="17"/>
        <v/>
      </c>
      <c r="I317" s="64" t="str">
        <f t="shared" si="18"/>
        <v/>
      </c>
    </row>
    <row r="318" spans="1:9" x14ac:dyDescent="0.2">
      <c r="A318" s="64"/>
      <c r="B318" s="64"/>
      <c r="C318" s="64"/>
      <c r="D318" s="64"/>
      <c r="E318" s="88"/>
      <c r="F318" s="88"/>
      <c r="G318" s="93" t="str">
        <f t="shared" si="16"/>
        <v/>
      </c>
      <c r="H318" s="88" t="str">
        <f t="shared" si="17"/>
        <v/>
      </c>
      <c r="I318" s="64" t="str">
        <f t="shared" si="18"/>
        <v/>
      </c>
    </row>
    <row r="319" spans="1:9" x14ac:dyDescent="0.2">
      <c r="A319" s="64"/>
      <c r="B319" s="64"/>
      <c r="C319" s="64"/>
      <c r="D319" s="64"/>
      <c r="E319" s="88"/>
      <c r="F319" s="88"/>
      <c r="G319" s="93" t="str">
        <f t="shared" si="16"/>
        <v/>
      </c>
      <c r="H319" s="88" t="str">
        <f t="shared" si="17"/>
        <v/>
      </c>
      <c r="I319" s="64" t="str">
        <f t="shared" si="18"/>
        <v/>
      </c>
    </row>
    <row r="320" spans="1:9" x14ac:dyDescent="0.2">
      <c r="A320" s="64"/>
      <c r="B320" s="64"/>
      <c r="C320" s="64"/>
      <c r="D320" s="64"/>
      <c r="E320" s="88"/>
      <c r="F320" s="88"/>
      <c r="G320" s="93" t="str">
        <f t="shared" si="16"/>
        <v/>
      </c>
      <c r="H320" s="88" t="str">
        <f t="shared" si="17"/>
        <v/>
      </c>
      <c r="I320" s="64" t="str">
        <f t="shared" si="18"/>
        <v/>
      </c>
    </row>
    <row r="321" spans="1:9" x14ac:dyDescent="0.2">
      <c r="A321" s="64"/>
      <c r="B321" s="64"/>
      <c r="C321" s="64"/>
      <c r="D321" s="64"/>
      <c r="E321" s="88"/>
      <c r="F321" s="88"/>
      <c r="G321" s="93" t="str">
        <f t="shared" si="16"/>
        <v/>
      </c>
      <c r="H321" s="88" t="str">
        <f t="shared" si="17"/>
        <v/>
      </c>
      <c r="I321" s="64" t="str">
        <f t="shared" si="18"/>
        <v/>
      </c>
    </row>
    <row r="322" spans="1:9" x14ac:dyDescent="0.2">
      <c r="A322" s="64"/>
      <c r="B322" s="64"/>
      <c r="C322" s="64"/>
      <c r="D322" s="64"/>
      <c r="E322" s="88"/>
      <c r="F322" s="88"/>
      <c r="G322" s="93" t="str">
        <f t="shared" si="16"/>
        <v/>
      </c>
      <c r="H322" s="88" t="str">
        <f t="shared" si="17"/>
        <v/>
      </c>
      <c r="I322" s="64" t="str">
        <f t="shared" si="18"/>
        <v/>
      </c>
    </row>
    <row r="323" spans="1:9" x14ac:dyDescent="0.2">
      <c r="A323" s="64"/>
      <c r="B323" s="64"/>
      <c r="C323" s="64"/>
      <c r="D323" s="64"/>
      <c r="E323" s="88"/>
      <c r="F323" s="88"/>
      <c r="G323" s="93" t="str">
        <f t="shared" si="16"/>
        <v/>
      </c>
      <c r="H323" s="88" t="str">
        <f t="shared" si="17"/>
        <v/>
      </c>
      <c r="I323" s="64" t="str">
        <f t="shared" si="18"/>
        <v/>
      </c>
    </row>
    <row r="324" spans="1:9" x14ac:dyDescent="0.2">
      <c r="A324" s="64"/>
      <c r="B324" s="64"/>
      <c r="C324" s="64"/>
      <c r="D324" s="64"/>
      <c r="E324" s="88"/>
      <c r="F324" s="88"/>
      <c r="G324" s="93" t="str">
        <f t="shared" si="16"/>
        <v/>
      </c>
      <c r="H324" s="88" t="str">
        <f t="shared" si="17"/>
        <v/>
      </c>
      <c r="I324" s="64" t="str">
        <f t="shared" si="18"/>
        <v/>
      </c>
    </row>
    <row r="325" spans="1:9" x14ac:dyDescent="0.2">
      <c r="A325" s="64"/>
      <c r="B325" s="64"/>
      <c r="C325" s="64"/>
      <c r="D325" s="64"/>
      <c r="E325" s="88"/>
      <c r="F325" s="88"/>
      <c r="G325" s="93" t="str">
        <f t="shared" si="16"/>
        <v/>
      </c>
      <c r="H325" s="88" t="str">
        <f t="shared" si="17"/>
        <v/>
      </c>
      <c r="I325" s="64" t="str">
        <f t="shared" si="18"/>
        <v/>
      </c>
    </row>
    <row r="326" spans="1:9" x14ac:dyDescent="0.2">
      <c r="A326" s="64"/>
      <c r="B326" s="64"/>
      <c r="C326" s="64"/>
      <c r="D326" s="64"/>
      <c r="E326" s="88"/>
      <c r="F326" s="88"/>
      <c r="G326" s="93" t="str">
        <f t="shared" si="16"/>
        <v/>
      </c>
      <c r="H326" s="88" t="str">
        <f t="shared" si="17"/>
        <v/>
      </c>
      <c r="I326" s="64" t="str">
        <f t="shared" si="18"/>
        <v/>
      </c>
    </row>
    <row r="327" spans="1:9" x14ac:dyDescent="0.2">
      <c r="A327" s="64"/>
      <c r="B327" s="64"/>
      <c r="C327" s="64"/>
      <c r="D327" s="64"/>
      <c r="E327" s="88"/>
      <c r="F327" s="88"/>
      <c r="G327" s="93" t="str">
        <f t="shared" si="16"/>
        <v/>
      </c>
      <c r="H327" s="88" t="str">
        <f t="shared" si="17"/>
        <v/>
      </c>
      <c r="I327" s="64" t="str">
        <f t="shared" si="18"/>
        <v/>
      </c>
    </row>
    <row r="328" spans="1:9" x14ac:dyDescent="0.2">
      <c r="A328" s="64"/>
      <c r="B328" s="64"/>
      <c r="C328" s="64"/>
      <c r="D328" s="64"/>
      <c r="E328" s="88"/>
      <c r="F328" s="88"/>
      <c r="G328" s="93" t="str">
        <f t="shared" si="16"/>
        <v/>
      </c>
      <c r="H328" s="88" t="str">
        <f t="shared" si="17"/>
        <v/>
      </c>
      <c r="I328" s="64" t="str">
        <f t="shared" si="18"/>
        <v/>
      </c>
    </row>
    <row r="329" spans="1:9" x14ac:dyDescent="0.2">
      <c r="A329" s="64"/>
      <c r="B329" s="64"/>
      <c r="C329" s="64"/>
      <c r="D329" s="64"/>
      <c r="E329" s="88"/>
      <c r="F329" s="88"/>
      <c r="G329" s="93" t="str">
        <f t="shared" si="16"/>
        <v/>
      </c>
      <c r="H329" s="88" t="str">
        <f t="shared" si="17"/>
        <v/>
      </c>
      <c r="I329" s="64" t="str">
        <f t="shared" si="18"/>
        <v/>
      </c>
    </row>
    <row r="330" spans="1:9" x14ac:dyDescent="0.2">
      <c r="A330" s="64"/>
      <c r="B330" s="64"/>
      <c r="C330" s="64"/>
      <c r="D330" s="64"/>
      <c r="E330" s="88"/>
      <c r="F330" s="88"/>
      <c r="G330" s="93" t="str">
        <f t="shared" si="16"/>
        <v/>
      </c>
      <c r="H330" s="88" t="str">
        <f t="shared" si="17"/>
        <v/>
      </c>
      <c r="I330" s="64" t="str">
        <f t="shared" si="18"/>
        <v/>
      </c>
    </row>
    <row r="331" spans="1:9" x14ac:dyDescent="0.2">
      <c r="A331" s="64"/>
      <c r="B331" s="64"/>
      <c r="C331" s="64"/>
      <c r="D331" s="64"/>
      <c r="E331" s="88"/>
      <c r="F331" s="88"/>
      <c r="G331" s="93" t="str">
        <f t="shared" si="16"/>
        <v/>
      </c>
      <c r="H331" s="88" t="str">
        <f t="shared" si="17"/>
        <v/>
      </c>
      <c r="I331" s="64" t="str">
        <f t="shared" si="18"/>
        <v/>
      </c>
    </row>
    <row r="332" spans="1:9" x14ac:dyDescent="0.2">
      <c r="A332" s="64"/>
      <c r="B332" s="64"/>
      <c r="C332" s="64"/>
      <c r="D332" s="64"/>
      <c r="E332" s="88"/>
      <c r="F332" s="88"/>
      <c r="G332" s="93" t="str">
        <f t="shared" si="16"/>
        <v/>
      </c>
      <c r="H332" s="88" t="str">
        <f t="shared" si="17"/>
        <v/>
      </c>
      <c r="I332" s="64" t="str">
        <f t="shared" si="18"/>
        <v/>
      </c>
    </row>
    <row r="333" spans="1:9" x14ac:dyDescent="0.2">
      <c r="A333" s="64"/>
      <c r="B333" s="64"/>
      <c r="C333" s="64"/>
      <c r="D333" s="64"/>
      <c r="E333" s="88"/>
      <c r="F333" s="88"/>
      <c r="G333" s="93" t="str">
        <f t="shared" si="16"/>
        <v/>
      </c>
      <c r="H333" s="88" t="str">
        <f t="shared" si="17"/>
        <v/>
      </c>
      <c r="I333" s="64" t="str">
        <f t="shared" si="18"/>
        <v/>
      </c>
    </row>
    <row r="334" spans="1:9" x14ac:dyDescent="0.2">
      <c r="A334" s="64"/>
      <c r="B334" s="64"/>
      <c r="C334" s="64"/>
      <c r="D334" s="64"/>
      <c r="E334" s="88"/>
      <c r="F334" s="88"/>
      <c r="G334" s="93" t="str">
        <f t="shared" si="16"/>
        <v/>
      </c>
      <c r="H334" s="88" t="str">
        <f t="shared" si="17"/>
        <v/>
      </c>
      <c r="I334" s="64" t="str">
        <f t="shared" si="18"/>
        <v/>
      </c>
    </row>
    <row r="335" spans="1:9" x14ac:dyDescent="0.2">
      <c r="A335" s="64"/>
      <c r="B335" s="64"/>
      <c r="C335" s="64"/>
      <c r="D335" s="64"/>
      <c r="E335" s="88"/>
      <c r="F335" s="88"/>
      <c r="G335" s="93" t="str">
        <f t="shared" si="16"/>
        <v/>
      </c>
      <c r="H335" s="88" t="str">
        <f t="shared" si="17"/>
        <v/>
      </c>
      <c r="I335" s="64" t="str">
        <f t="shared" si="18"/>
        <v/>
      </c>
    </row>
    <row r="336" spans="1:9" x14ac:dyDescent="0.2">
      <c r="A336" s="64"/>
      <c r="B336" s="64"/>
      <c r="C336" s="64"/>
      <c r="D336" s="64"/>
      <c r="E336" s="88"/>
      <c r="F336" s="88"/>
      <c r="G336" s="93" t="str">
        <f t="shared" si="16"/>
        <v/>
      </c>
      <c r="H336" s="88" t="str">
        <f t="shared" si="17"/>
        <v/>
      </c>
      <c r="I336" s="64" t="str">
        <f t="shared" si="18"/>
        <v/>
      </c>
    </row>
    <row r="337" spans="1:9" x14ac:dyDescent="0.2">
      <c r="A337" s="64"/>
      <c r="B337" s="64"/>
      <c r="C337" s="64"/>
      <c r="D337" s="64"/>
      <c r="E337" s="88"/>
      <c r="F337" s="88"/>
      <c r="G337" s="93" t="str">
        <f t="shared" si="16"/>
        <v/>
      </c>
      <c r="H337" s="88" t="str">
        <f t="shared" si="17"/>
        <v/>
      </c>
      <c r="I337" s="64" t="str">
        <f t="shared" si="18"/>
        <v/>
      </c>
    </row>
    <row r="338" spans="1:9" x14ac:dyDescent="0.2">
      <c r="A338" s="64"/>
      <c r="B338" s="64"/>
      <c r="C338" s="64"/>
      <c r="D338" s="64"/>
      <c r="E338" s="88"/>
      <c r="F338" s="88"/>
      <c r="G338" s="93" t="str">
        <f t="shared" si="16"/>
        <v/>
      </c>
      <c r="H338" s="88" t="str">
        <f t="shared" si="17"/>
        <v/>
      </c>
      <c r="I338" s="64" t="str">
        <f t="shared" si="18"/>
        <v/>
      </c>
    </row>
    <row r="339" spans="1:9" x14ac:dyDescent="0.2">
      <c r="A339" s="64"/>
      <c r="B339" s="64"/>
      <c r="C339" s="64"/>
      <c r="D339" s="64"/>
      <c r="E339" s="88"/>
      <c r="F339" s="88"/>
      <c r="G339" s="93" t="str">
        <f t="shared" si="16"/>
        <v/>
      </c>
      <c r="H339" s="88" t="str">
        <f t="shared" si="17"/>
        <v/>
      </c>
      <c r="I339" s="64" t="str">
        <f t="shared" si="18"/>
        <v/>
      </c>
    </row>
    <row r="340" spans="1:9" x14ac:dyDescent="0.2">
      <c r="A340" s="64"/>
      <c r="B340" s="64"/>
      <c r="C340" s="64"/>
      <c r="D340" s="64"/>
      <c r="E340" s="88"/>
      <c r="F340" s="88"/>
      <c r="G340" s="93" t="str">
        <f t="shared" si="16"/>
        <v/>
      </c>
      <c r="H340" s="88" t="str">
        <f t="shared" si="17"/>
        <v/>
      </c>
      <c r="I340" s="64" t="str">
        <f t="shared" si="18"/>
        <v/>
      </c>
    </row>
    <row r="341" spans="1:9" x14ac:dyDescent="0.2">
      <c r="A341" s="64"/>
      <c r="B341" s="64"/>
      <c r="C341" s="64"/>
      <c r="D341" s="64"/>
      <c r="E341" s="88"/>
      <c r="F341" s="88"/>
      <c r="G341" s="93" t="str">
        <f t="shared" si="16"/>
        <v/>
      </c>
      <c r="H341" s="88" t="str">
        <f t="shared" si="17"/>
        <v/>
      </c>
      <c r="I341" s="64" t="str">
        <f t="shared" si="18"/>
        <v/>
      </c>
    </row>
    <row r="342" spans="1:9" x14ac:dyDescent="0.2">
      <c r="A342" s="64"/>
      <c r="B342" s="64"/>
      <c r="C342" s="64"/>
      <c r="D342" s="64"/>
      <c r="E342" s="88"/>
      <c r="F342" s="88"/>
      <c r="G342" s="93" t="str">
        <f t="shared" si="16"/>
        <v/>
      </c>
      <c r="H342" s="88" t="str">
        <f t="shared" si="17"/>
        <v/>
      </c>
      <c r="I342" s="64" t="str">
        <f t="shared" si="18"/>
        <v/>
      </c>
    </row>
    <row r="343" spans="1:9" x14ac:dyDescent="0.2">
      <c r="A343" s="64"/>
      <c r="B343" s="64"/>
      <c r="C343" s="64"/>
      <c r="D343" s="64"/>
      <c r="E343" s="88"/>
      <c r="F343" s="88"/>
      <c r="G343" s="93" t="str">
        <f t="shared" si="16"/>
        <v/>
      </c>
      <c r="H343" s="88" t="str">
        <f t="shared" si="17"/>
        <v/>
      </c>
      <c r="I343" s="64" t="str">
        <f t="shared" si="18"/>
        <v/>
      </c>
    </row>
    <row r="344" spans="1:9" x14ac:dyDescent="0.2">
      <c r="A344" s="64"/>
      <c r="B344" s="64"/>
      <c r="C344" s="64"/>
      <c r="D344" s="64"/>
      <c r="E344" s="88"/>
      <c r="F344" s="88"/>
      <c r="G344" s="93" t="str">
        <f t="shared" si="16"/>
        <v/>
      </c>
      <c r="H344" s="88" t="str">
        <f t="shared" si="17"/>
        <v/>
      </c>
      <c r="I344" s="64" t="str">
        <f t="shared" si="18"/>
        <v/>
      </c>
    </row>
    <row r="345" spans="1:9" x14ac:dyDescent="0.2">
      <c r="A345" s="64"/>
      <c r="B345" s="64"/>
      <c r="C345" s="64"/>
      <c r="D345" s="64"/>
      <c r="E345" s="88"/>
      <c r="F345" s="88"/>
      <c r="G345" s="93" t="str">
        <f t="shared" si="16"/>
        <v/>
      </c>
      <c r="H345" s="88" t="str">
        <f t="shared" si="17"/>
        <v/>
      </c>
      <c r="I345" s="64" t="str">
        <f t="shared" si="18"/>
        <v/>
      </c>
    </row>
    <row r="346" spans="1:9" x14ac:dyDescent="0.2">
      <c r="A346" s="64"/>
      <c r="B346" s="64"/>
      <c r="C346" s="64"/>
      <c r="D346" s="64"/>
      <c r="E346" s="88"/>
      <c r="F346" s="88"/>
      <c r="G346" s="93" t="str">
        <f t="shared" si="16"/>
        <v/>
      </c>
      <c r="H346" s="88" t="str">
        <f t="shared" si="17"/>
        <v/>
      </c>
      <c r="I346" s="64" t="str">
        <f t="shared" si="18"/>
        <v/>
      </c>
    </row>
    <row r="347" spans="1:9" x14ac:dyDescent="0.2">
      <c r="A347" s="64"/>
      <c r="B347" s="64"/>
      <c r="C347" s="64"/>
      <c r="D347" s="64"/>
      <c r="E347" s="88"/>
      <c r="F347" s="88"/>
      <c r="G347" s="93" t="str">
        <f t="shared" ref="G347:G371" si="19">IF(OR(AND(B347="", C347="", D347="", F347= ""), F347=""), "", F347/10^6)</f>
        <v/>
      </c>
      <c r="H347" s="88" t="str">
        <f t="shared" si="17"/>
        <v/>
      </c>
      <c r="I347" s="64" t="str">
        <f t="shared" si="18"/>
        <v/>
      </c>
    </row>
    <row r="348" spans="1:9" x14ac:dyDescent="0.2">
      <c r="A348" s="64"/>
      <c r="B348" s="64"/>
      <c r="C348" s="64"/>
      <c r="D348" s="64"/>
      <c r="E348" s="88"/>
      <c r="F348" s="88"/>
      <c r="G348" s="93" t="str">
        <f t="shared" si="19"/>
        <v/>
      </c>
      <c r="H348" s="88" t="str">
        <f t="shared" si="17"/>
        <v/>
      </c>
      <c r="I348" s="64" t="str">
        <f t="shared" si="18"/>
        <v/>
      </c>
    </row>
    <row r="349" spans="1:9" x14ac:dyDescent="0.2">
      <c r="A349" s="64"/>
      <c r="B349" s="64"/>
      <c r="C349" s="64"/>
      <c r="D349" s="64"/>
      <c r="E349" s="88"/>
      <c r="F349" s="88"/>
      <c r="G349" s="93" t="str">
        <f t="shared" si="19"/>
        <v/>
      </c>
      <c r="H349" s="88" t="str">
        <f t="shared" si="17"/>
        <v/>
      </c>
      <c r="I349" s="64" t="str">
        <f t="shared" si="18"/>
        <v/>
      </c>
    </row>
    <row r="350" spans="1:9" x14ac:dyDescent="0.2">
      <c r="A350" s="64"/>
      <c r="B350" s="64"/>
      <c r="C350" s="64"/>
      <c r="D350" s="64"/>
      <c r="E350" s="88"/>
      <c r="F350" s="88"/>
      <c r="G350" s="93" t="str">
        <f t="shared" si="19"/>
        <v/>
      </c>
      <c r="H350" s="88" t="str">
        <f t="shared" si="17"/>
        <v/>
      </c>
      <c r="I350" s="64" t="str">
        <f t="shared" si="18"/>
        <v/>
      </c>
    </row>
    <row r="351" spans="1:9" x14ac:dyDescent="0.2">
      <c r="A351" s="64"/>
      <c r="B351" s="64"/>
      <c r="C351" s="64"/>
      <c r="D351" s="64"/>
      <c r="E351" s="88"/>
      <c r="F351" s="88"/>
      <c r="G351" s="93" t="str">
        <f t="shared" si="19"/>
        <v/>
      </c>
      <c r="H351" s="88" t="str">
        <f t="shared" si="17"/>
        <v/>
      </c>
      <c r="I351" s="64" t="str">
        <f t="shared" si="18"/>
        <v/>
      </c>
    </row>
    <row r="352" spans="1:9" x14ac:dyDescent="0.2">
      <c r="A352" s="64"/>
      <c r="B352" s="64"/>
      <c r="C352" s="64"/>
      <c r="D352" s="64"/>
      <c r="E352" s="88"/>
      <c r="F352" s="88"/>
      <c r="G352" s="93" t="str">
        <f t="shared" si="19"/>
        <v/>
      </c>
      <c r="H352" s="88" t="str">
        <f t="shared" si="17"/>
        <v/>
      </c>
      <c r="I352" s="64" t="str">
        <f t="shared" si="18"/>
        <v/>
      </c>
    </row>
    <row r="353" spans="1:9" x14ac:dyDescent="0.2">
      <c r="A353" s="64"/>
      <c r="B353" s="64"/>
      <c r="C353" s="64"/>
      <c r="D353" s="64"/>
      <c r="E353" s="88"/>
      <c r="F353" s="88"/>
      <c r="G353" s="93" t="str">
        <f t="shared" si="19"/>
        <v/>
      </c>
      <c r="H353" s="88" t="str">
        <f t="shared" si="17"/>
        <v/>
      </c>
      <c r="I353" s="64" t="str">
        <f t="shared" si="18"/>
        <v/>
      </c>
    </row>
    <row r="354" spans="1:9" x14ac:dyDescent="0.2">
      <c r="A354" s="64"/>
      <c r="B354" s="64"/>
      <c r="C354" s="64"/>
      <c r="D354" s="64"/>
      <c r="E354" s="88"/>
      <c r="F354" s="88"/>
      <c r="G354" s="93" t="str">
        <f t="shared" si="19"/>
        <v/>
      </c>
      <c r="H354" s="88" t="str">
        <f t="shared" si="17"/>
        <v/>
      </c>
      <c r="I354" s="64" t="str">
        <f t="shared" si="18"/>
        <v/>
      </c>
    </row>
    <row r="355" spans="1:9" x14ac:dyDescent="0.2">
      <c r="A355" s="64"/>
      <c r="B355" s="64"/>
      <c r="C355" s="64"/>
      <c r="D355" s="64"/>
      <c r="E355" s="88"/>
      <c r="F355" s="88"/>
      <c r="G355" s="93" t="str">
        <f t="shared" si="19"/>
        <v/>
      </c>
      <c r="H355" s="88" t="str">
        <f t="shared" si="17"/>
        <v/>
      </c>
      <c r="I355" s="64" t="str">
        <f t="shared" si="18"/>
        <v/>
      </c>
    </row>
    <row r="356" spans="1:9" x14ac:dyDescent="0.2">
      <c r="A356" s="64"/>
      <c r="B356" s="64"/>
      <c r="C356" s="64"/>
      <c r="D356" s="64"/>
      <c r="E356" s="88"/>
      <c r="F356" s="88"/>
      <c r="G356" s="93" t="str">
        <f t="shared" si="19"/>
        <v/>
      </c>
      <c r="H356" s="88" t="str">
        <f t="shared" si="17"/>
        <v/>
      </c>
      <c r="I356" s="64" t="str">
        <f t="shared" si="18"/>
        <v/>
      </c>
    </row>
    <row r="357" spans="1:9" x14ac:dyDescent="0.2">
      <c r="A357" s="64"/>
      <c r="B357" s="64"/>
      <c r="C357" s="64"/>
      <c r="D357" s="64"/>
      <c r="E357" s="88"/>
      <c r="F357" s="88"/>
      <c r="G357" s="93" t="str">
        <f t="shared" si="19"/>
        <v/>
      </c>
      <c r="H357" s="88" t="str">
        <f t="shared" si="17"/>
        <v/>
      </c>
      <c r="I357" s="64" t="str">
        <f t="shared" si="18"/>
        <v/>
      </c>
    </row>
    <row r="358" spans="1:9" x14ac:dyDescent="0.2">
      <c r="A358" s="64"/>
      <c r="B358" s="64"/>
      <c r="C358" s="64"/>
      <c r="D358" s="64"/>
      <c r="E358" s="88"/>
      <c r="F358" s="88"/>
      <c r="G358" s="93" t="str">
        <f t="shared" si="19"/>
        <v/>
      </c>
      <c r="H358" s="88" t="str">
        <f t="shared" si="17"/>
        <v/>
      </c>
      <c r="I358" s="64" t="str">
        <f t="shared" si="18"/>
        <v/>
      </c>
    </row>
    <row r="359" spans="1:9" x14ac:dyDescent="0.2">
      <c r="A359" s="64"/>
      <c r="B359" s="64"/>
      <c r="C359" s="64"/>
      <c r="D359" s="64"/>
      <c r="E359" s="88"/>
      <c r="F359" s="88"/>
      <c r="G359" s="93" t="str">
        <f t="shared" si="19"/>
        <v/>
      </c>
      <c r="H359" s="88" t="str">
        <f t="shared" ref="H359:H371" si="20">IF(OR(AND(B359="", C359="", D359="", F359=""), F359=""), "", B$1/G359)</f>
        <v/>
      </c>
      <c r="I359" s="64" t="str">
        <f t="shared" ref="I359:I371" si="21">IF(OR(AND(B359="", C359="", D359="", F359=""), F359=""), "", IF(H359&lt;=$D$1, "Y", ""))</f>
        <v/>
      </c>
    </row>
    <row r="360" spans="1:9" x14ac:dyDescent="0.2">
      <c r="A360" s="64"/>
      <c r="B360" s="64"/>
      <c r="C360" s="64"/>
      <c r="D360" s="64"/>
      <c r="E360" s="88"/>
      <c r="F360" s="88"/>
      <c r="G360" s="93" t="str">
        <f t="shared" si="19"/>
        <v/>
      </c>
      <c r="H360" s="88" t="str">
        <f t="shared" si="20"/>
        <v/>
      </c>
      <c r="I360" s="64" t="str">
        <f t="shared" si="21"/>
        <v/>
      </c>
    </row>
    <row r="361" spans="1:9" x14ac:dyDescent="0.2">
      <c r="A361" s="64"/>
      <c r="B361" s="64"/>
      <c r="C361" s="64"/>
      <c r="D361" s="64"/>
      <c r="E361" s="88"/>
      <c r="F361" s="88"/>
      <c r="G361" s="93" t="str">
        <f t="shared" si="19"/>
        <v/>
      </c>
      <c r="H361" s="88" t="str">
        <f t="shared" si="20"/>
        <v/>
      </c>
      <c r="I361" s="64" t="str">
        <f t="shared" si="21"/>
        <v/>
      </c>
    </row>
    <row r="362" spans="1:9" x14ac:dyDescent="0.2">
      <c r="A362" s="64"/>
      <c r="B362" s="64"/>
      <c r="C362" s="64"/>
      <c r="D362" s="64"/>
      <c r="E362" s="88"/>
      <c r="F362" s="88"/>
      <c r="G362" s="93" t="str">
        <f t="shared" si="19"/>
        <v/>
      </c>
      <c r="H362" s="88" t="str">
        <f t="shared" si="20"/>
        <v/>
      </c>
      <c r="I362" s="64" t="str">
        <f t="shared" si="21"/>
        <v/>
      </c>
    </row>
    <row r="363" spans="1:9" x14ac:dyDescent="0.2">
      <c r="A363" s="64"/>
      <c r="B363" s="64"/>
      <c r="C363" s="64"/>
      <c r="D363" s="64"/>
      <c r="E363" s="88"/>
      <c r="F363" s="88"/>
      <c r="G363" s="93" t="str">
        <f t="shared" si="19"/>
        <v/>
      </c>
      <c r="H363" s="88" t="str">
        <f t="shared" si="20"/>
        <v/>
      </c>
      <c r="I363" s="64" t="str">
        <f t="shared" si="21"/>
        <v/>
      </c>
    </row>
    <row r="364" spans="1:9" x14ac:dyDescent="0.2">
      <c r="A364" s="64"/>
      <c r="B364" s="64"/>
      <c r="C364" s="64"/>
      <c r="D364" s="64"/>
      <c r="E364" s="88"/>
      <c r="F364" s="88"/>
      <c r="G364" s="93" t="str">
        <f t="shared" si="19"/>
        <v/>
      </c>
      <c r="H364" s="88" t="str">
        <f t="shared" si="20"/>
        <v/>
      </c>
      <c r="I364" s="64" t="str">
        <f t="shared" si="21"/>
        <v/>
      </c>
    </row>
    <row r="365" spans="1:9" x14ac:dyDescent="0.2">
      <c r="A365" s="64"/>
      <c r="B365" s="64"/>
      <c r="C365" s="64"/>
      <c r="D365" s="64"/>
      <c r="E365" s="88"/>
      <c r="F365" s="88"/>
      <c r="G365" s="93" t="str">
        <f t="shared" si="19"/>
        <v/>
      </c>
      <c r="H365" s="88" t="str">
        <f t="shared" si="20"/>
        <v/>
      </c>
      <c r="I365" s="64" t="str">
        <f t="shared" si="21"/>
        <v/>
      </c>
    </row>
    <row r="366" spans="1:9" x14ac:dyDescent="0.2">
      <c r="A366" s="64"/>
      <c r="B366" s="64"/>
      <c r="C366" s="64"/>
      <c r="D366" s="64"/>
      <c r="E366" s="88"/>
      <c r="F366" s="88"/>
      <c r="G366" s="93" t="str">
        <f t="shared" si="19"/>
        <v/>
      </c>
      <c r="H366" s="88" t="str">
        <f t="shared" si="20"/>
        <v/>
      </c>
      <c r="I366" s="64" t="str">
        <f t="shared" si="21"/>
        <v/>
      </c>
    </row>
    <row r="367" spans="1:9" x14ac:dyDescent="0.2">
      <c r="A367" s="64"/>
      <c r="B367" s="64"/>
      <c r="C367" s="64"/>
      <c r="D367" s="64"/>
      <c r="E367" s="88"/>
      <c r="F367" s="88"/>
      <c r="G367" s="93" t="str">
        <f t="shared" si="19"/>
        <v/>
      </c>
      <c r="H367" s="88" t="str">
        <f t="shared" si="20"/>
        <v/>
      </c>
      <c r="I367" s="64" t="str">
        <f t="shared" si="21"/>
        <v/>
      </c>
    </row>
    <row r="368" spans="1:9" x14ac:dyDescent="0.2">
      <c r="A368" s="64"/>
      <c r="B368" s="64"/>
      <c r="C368" s="64"/>
      <c r="D368" s="64"/>
      <c r="E368" s="88"/>
      <c r="F368" s="88"/>
      <c r="G368" s="93" t="str">
        <f t="shared" si="19"/>
        <v/>
      </c>
      <c r="H368" s="88" t="str">
        <f t="shared" si="20"/>
        <v/>
      </c>
      <c r="I368" s="64" t="str">
        <f t="shared" si="21"/>
        <v/>
      </c>
    </row>
    <row r="369" spans="1:9" x14ac:dyDescent="0.2">
      <c r="A369" s="64"/>
      <c r="B369" s="64"/>
      <c r="C369" s="64"/>
      <c r="D369" s="64"/>
      <c r="E369" s="88"/>
      <c r="F369" s="88"/>
      <c r="G369" s="93" t="str">
        <f t="shared" si="19"/>
        <v/>
      </c>
      <c r="H369" s="88" t="str">
        <f t="shared" si="20"/>
        <v/>
      </c>
      <c r="I369" s="64" t="str">
        <f t="shared" si="21"/>
        <v/>
      </c>
    </row>
    <row r="370" spans="1:9" x14ac:dyDescent="0.2">
      <c r="A370" s="64"/>
      <c r="B370" s="64"/>
      <c r="C370" s="64"/>
      <c r="D370" s="64"/>
      <c r="E370" s="88"/>
      <c r="F370" s="88"/>
      <c r="G370" s="93" t="str">
        <f t="shared" si="19"/>
        <v/>
      </c>
      <c r="H370" s="88" t="str">
        <f t="shared" si="20"/>
        <v/>
      </c>
      <c r="I370" s="64" t="str">
        <f t="shared" si="21"/>
        <v/>
      </c>
    </row>
    <row r="371" spans="1:9" x14ac:dyDescent="0.2">
      <c r="A371" s="64"/>
      <c r="B371" s="64"/>
      <c r="C371" s="64"/>
      <c r="D371" s="64"/>
      <c r="E371" s="88"/>
      <c r="F371" s="88"/>
      <c r="G371" s="93" t="str">
        <f t="shared" si="19"/>
        <v/>
      </c>
      <c r="H371" s="88" t="str">
        <f t="shared" si="20"/>
        <v/>
      </c>
      <c r="I371" s="64" t="str">
        <f t="shared" si="21"/>
        <v/>
      </c>
    </row>
    <row r="372" spans="1:9" x14ac:dyDescent="0.2">
      <c r="A372" s="64"/>
      <c r="B372" s="64"/>
      <c r="C372" s="64"/>
      <c r="D372" s="64"/>
      <c r="E372" s="88"/>
      <c r="F372" s="88"/>
      <c r="G372" s="93" t="str">
        <f t="shared" ref="G372:G385" si="22">IF(OR(AND(B372="", C372="", D372="", F372= ""), F372=""), "", F372/10^6)</f>
        <v/>
      </c>
      <c r="H372" s="88" t="str">
        <f t="shared" ref="H372:H385" si="23">IF(OR(AND(B372="", C372="", D372="", F372=""), F372=""), "", B$1/G372)</f>
        <v/>
      </c>
      <c r="I372" s="64" t="str">
        <f t="shared" ref="I372:I385" si="24">IF(OR(AND(B372="", C372="", D372="", F372=""), F372=""), "", IF(H372&lt;=$D$1, "Y", ""))</f>
        <v/>
      </c>
    </row>
    <row r="373" spans="1:9" x14ac:dyDescent="0.2">
      <c r="A373" s="64"/>
      <c r="B373" s="64"/>
      <c r="C373" s="64"/>
      <c r="D373" s="64"/>
      <c r="E373" s="88"/>
      <c r="F373" s="88"/>
      <c r="G373" s="93" t="str">
        <f t="shared" si="22"/>
        <v/>
      </c>
      <c r="H373" s="88" t="str">
        <f t="shared" si="23"/>
        <v/>
      </c>
      <c r="I373" s="64" t="str">
        <f t="shared" si="24"/>
        <v/>
      </c>
    </row>
    <row r="374" spans="1:9" x14ac:dyDescent="0.2">
      <c r="A374" s="64"/>
      <c r="B374" s="64"/>
      <c r="C374" s="64"/>
      <c r="D374" s="64"/>
      <c r="E374" s="88"/>
      <c r="F374" s="88"/>
      <c r="G374" s="93" t="str">
        <f t="shared" si="22"/>
        <v/>
      </c>
      <c r="H374" s="88" t="str">
        <f t="shared" si="23"/>
        <v/>
      </c>
      <c r="I374" s="64" t="str">
        <f t="shared" si="24"/>
        <v/>
      </c>
    </row>
    <row r="375" spans="1:9" x14ac:dyDescent="0.2">
      <c r="A375" s="64"/>
      <c r="B375" s="64"/>
      <c r="C375" s="64"/>
      <c r="D375" s="64"/>
      <c r="E375" s="88"/>
      <c r="F375" s="88"/>
      <c r="G375" s="93" t="str">
        <f t="shared" si="22"/>
        <v/>
      </c>
      <c r="H375" s="88" t="str">
        <f t="shared" si="23"/>
        <v/>
      </c>
      <c r="I375" s="64" t="str">
        <f t="shared" si="24"/>
        <v/>
      </c>
    </row>
    <row r="376" spans="1:9" x14ac:dyDescent="0.2">
      <c r="A376" s="64"/>
      <c r="B376" s="64"/>
      <c r="C376" s="64"/>
      <c r="D376" s="64"/>
      <c r="E376" s="88"/>
      <c r="F376" s="88"/>
      <c r="G376" s="93" t="str">
        <f t="shared" si="22"/>
        <v/>
      </c>
      <c r="H376" s="88" t="str">
        <f t="shared" si="23"/>
        <v/>
      </c>
      <c r="I376" s="64" t="str">
        <f t="shared" si="24"/>
        <v/>
      </c>
    </row>
    <row r="377" spans="1:9" x14ac:dyDescent="0.2">
      <c r="A377" s="64"/>
      <c r="B377" s="64"/>
      <c r="C377" s="64"/>
      <c r="D377" s="64"/>
      <c r="E377" s="88"/>
      <c r="F377" s="88"/>
      <c r="G377" s="93" t="str">
        <f t="shared" si="22"/>
        <v/>
      </c>
      <c r="H377" s="88" t="str">
        <f t="shared" si="23"/>
        <v/>
      </c>
      <c r="I377" s="64" t="str">
        <f t="shared" si="24"/>
        <v/>
      </c>
    </row>
    <row r="378" spans="1:9" x14ac:dyDescent="0.2">
      <c r="A378" s="64"/>
      <c r="B378" s="64"/>
      <c r="C378" s="64"/>
      <c r="D378" s="64"/>
      <c r="E378" s="88"/>
      <c r="F378" s="88"/>
      <c r="G378" s="93" t="str">
        <f t="shared" si="22"/>
        <v/>
      </c>
      <c r="H378" s="88" t="str">
        <f t="shared" si="23"/>
        <v/>
      </c>
      <c r="I378" s="64" t="str">
        <f t="shared" si="24"/>
        <v/>
      </c>
    </row>
    <row r="379" spans="1:9" x14ac:dyDescent="0.2">
      <c r="A379" s="64"/>
      <c r="B379" s="64"/>
      <c r="C379" s="64"/>
      <c r="D379" s="64"/>
      <c r="E379" s="88"/>
      <c r="F379" s="88"/>
      <c r="G379" s="93" t="str">
        <f t="shared" si="22"/>
        <v/>
      </c>
      <c r="H379" s="88" t="str">
        <f t="shared" si="23"/>
        <v/>
      </c>
      <c r="I379" s="64" t="str">
        <f t="shared" si="24"/>
        <v/>
      </c>
    </row>
    <row r="380" spans="1:9" x14ac:dyDescent="0.2">
      <c r="A380" s="64"/>
      <c r="B380" s="64"/>
      <c r="C380" s="64"/>
      <c r="D380" s="64"/>
      <c r="E380" s="88"/>
      <c r="F380" s="88"/>
      <c r="G380" s="93" t="str">
        <f t="shared" si="22"/>
        <v/>
      </c>
      <c r="H380" s="88" t="str">
        <f t="shared" si="23"/>
        <v/>
      </c>
      <c r="I380" s="64" t="str">
        <f t="shared" si="24"/>
        <v/>
      </c>
    </row>
    <row r="381" spans="1:9" x14ac:dyDescent="0.2">
      <c r="A381" s="64"/>
      <c r="B381" s="64"/>
      <c r="C381" s="64"/>
      <c r="D381" s="64"/>
      <c r="E381" s="88"/>
      <c r="F381" s="88"/>
      <c r="G381" s="93" t="str">
        <f t="shared" si="22"/>
        <v/>
      </c>
      <c r="H381" s="88" t="str">
        <f t="shared" si="23"/>
        <v/>
      </c>
      <c r="I381" s="64" t="str">
        <f t="shared" si="24"/>
        <v/>
      </c>
    </row>
    <row r="382" spans="1:9" x14ac:dyDescent="0.2">
      <c r="A382" s="64"/>
      <c r="B382" s="64"/>
      <c r="C382" s="64"/>
      <c r="D382" s="64"/>
      <c r="E382" s="88"/>
      <c r="F382" s="88"/>
      <c r="G382" s="93" t="str">
        <f t="shared" si="22"/>
        <v/>
      </c>
      <c r="H382" s="88" t="str">
        <f t="shared" si="23"/>
        <v/>
      </c>
      <c r="I382" s="64" t="str">
        <f t="shared" si="24"/>
        <v/>
      </c>
    </row>
    <row r="383" spans="1:9" x14ac:dyDescent="0.2">
      <c r="A383" s="64"/>
      <c r="B383" s="64"/>
      <c r="C383" s="64"/>
      <c r="D383" s="64"/>
      <c r="E383" s="88"/>
      <c r="F383" s="88"/>
      <c r="G383" s="93" t="str">
        <f t="shared" si="22"/>
        <v/>
      </c>
      <c r="H383" s="88" t="str">
        <f t="shared" si="23"/>
        <v/>
      </c>
      <c r="I383" s="64" t="str">
        <f t="shared" si="24"/>
        <v/>
      </c>
    </row>
    <row r="384" spans="1:9" x14ac:dyDescent="0.2">
      <c r="A384" s="64"/>
      <c r="B384" s="64"/>
      <c r="C384" s="64"/>
      <c r="D384" s="64"/>
      <c r="E384" s="88"/>
      <c r="F384" s="88"/>
      <c r="G384" s="93" t="str">
        <f t="shared" si="22"/>
        <v/>
      </c>
      <c r="H384" s="88" t="str">
        <f t="shared" si="23"/>
        <v/>
      </c>
      <c r="I384" s="64" t="str">
        <f t="shared" si="24"/>
        <v/>
      </c>
    </row>
    <row r="385" spans="1:9" x14ac:dyDescent="0.2">
      <c r="A385" s="64"/>
      <c r="B385" s="64"/>
      <c r="C385" s="64"/>
      <c r="D385" s="64"/>
      <c r="E385" s="88"/>
      <c r="F385" s="88"/>
      <c r="G385" s="93" t="str">
        <f t="shared" si="22"/>
        <v/>
      </c>
      <c r="H385" s="88" t="str">
        <f t="shared" si="23"/>
        <v/>
      </c>
      <c r="I385" s="64" t="str">
        <f t="shared" si="24"/>
        <v/>
      </c>
    </row>
    <row r="386" spans="1:9" x14ac:dyDescent="0.2">
      <c r="A386" s="64"/>
      <c r="B386" s="64"/>
      <c r="C386" s="64"/>
      <c r="D386" s="64"/>
      <c r="E386" s="88"/>
      <c r="F386" s="88"/>
      <c r="G386" s="93" t="str">
        <f t="shared" ref="G386:G388" si="25">IF(OR(AND(B386="", C386="", D386="", F386= ""), F386=""), "", F386/10^6)</f>
        <v/>
      </c>
      <c r="H386" s="88" t="str">
        <f t="shared" ref="H386:H388" si="26">IF(OR(AND(B386="", C386="", D386="", F386=""), F386=""), "", B$1/G386)</f>
        <v/>
      </c>
      <c r="I386" s="64" t="str">
        <f t="shared" ref="I386:I388" si="27">IF(OR(AND(B386="", C386="", D386="", F386=""), F386=""), "", IF(H386&lt;=$D$1, "Y", ""))</f>
        <v/>
      </c>
    </row>
    <row r="387" spans="1:9" x14ac:dyDescent="0.2">
      <c r="A387" s="64"/>
      <c r="B387" s="64"/>
      <c r="C387" s="64"/>
      <c r="D387" s="64"/>
      <c r="E387" s="88"/>
      <c r="F387" s="88"/>
      <c r="G387" s="93" t="str">
        <f t="shared" si="25"/>
        <v/>
      </c>
      <c r="H387" s="88" t="str">
        <f t="shared" si="26"/>
        <v/>
      </c>
      <c r="I387" s="64" t="str">
        <f t="shared" si="27"/>
        <v/>
      </c>
    </row>
    <row r="388" spans="1:9" x14ac:dyDescent="0.2">
      <c r="A388" s="64"/>
      <c r="B388" s="64"/>
      <c r="C388" s="64"/>
      <c r="D388" s="64"/>
      <c r="E388" s="88"/>
      <c r="F388" s="88"/>
      <c r="G388" s="93" t="str">
        <f t="shared" si="25"/>
        <v/>
      </c>
      <c r="H388" s="88" t="str">
        <f t="shared" si="26"/>
        <v/>
      </c>
      <c r="I388" s="64" t="str">
        <f t="shared" si="27"/>
        <v/>
      </c>
    </row>
    <row r="389" spans="1:9" x14ac:dyDescent="0.2">
      <c r="A389" s="64"/>
      <c r="B389" s="64"/>
      <c r="C389" s="64"/>
      <c r="D389" s="64"/>
      <c r="E389" s="88"/>
      <c r="F389" s="88"/>
      <c r="G389" s="93" t="str">
        <f t="shared" ref="G389:G394" si="28">IF(OR(AND(B389="", C389="", D389="", F389= ""), F389=""), "", F389/10^6)</f>
        <v/>
      </c>
      <c r="H389" s="88" t="str">
        <f t="shared" ref="H389:H394" si="29">IF(OR(AND(B389="", C389="", D389="", F389=""), F389=""), "", B$1/G389)</f>
        <v/>
      </c>
      <c r="I389" s="64" t="str">
        <f t="shared" ref="I389:I394" si="30">IF(OR(AND(B389="", C389="", D389="", F389=""), F389=""), "", IF(H389&lt;=$D$1, "Y", ""))</f>
        <v/>
      </c>
    </row>
    <row r="390" spans="1:9" x14ac:dyDescent="0.2">
      <c r="A390" s="64"/>
      <c r="B390" s="64"/>
      <c r="C390" s="64"/>
      <c r="D390" s="64"/>
      <c r="E390" s="88"/>
      <c r="F390" s="88"/>
      <c r="G390" s="93" t="str">
        <f t="shared" si="28"/>
        <v/>
      </c>
      <c r="H390" s="88" t="str">
        <f t="shared" si="29"/>
        <v/>
      </c>
      <c r="I390" s="64" t="str">
        <f t="shared" si="30"/>
        <v/>
      </c>
    </row>
    <row r="391" spans="1:9" x14ac:dyDescent="0.2">
      <c r="A391" s="64"/>
      <c r="B391" s="64"/>
      <c r="C391" s="64"/>
      <c r="D391" s="64"/>
      <c r="E391" s="88"/>
      <c r="F391" s="88"/>
      <c r="G391" s="93" t="str">
        <f t="shared" si="28"/>
        <v/>
      </c>
      <c r="H391" s="88" t="str">
        <f t="shared" si="29"/>
        <v/>
      </c>
      <c r="I391" s="64" t="str">
        <f t="shared" si="30"/>
        <v/>
      </c>
    </row>
    <row r="392" spans="1:9" x14ac:dyDescent="0.2">
      <c r="A392" s="64"/>
      <c r="B392" s="64"/>
      <c r="C392" s="64"/>
      <c r="D392" s="64"/>
      <c r="E392" s="88"/>
      <c r="F392" s="88"/>
      <c r="G392" s="93" t="str">
        <f t="shared" si="28"/>
        <v/>
      </c>
      <c r="H392" s="88" t="str">
        <f t="shared" si="29"/>
        <v/>
      </c>
      <c r="I392" s="64" t="str">
        <f t="shared" si="30"/>
        <v/>
      </c>
    </row>
    <row r="393" spans="1:9" x14ac:dyDescent="0.2">
      <c r="A393" s="64"/>
      <c r="B393" s="64"/>
      <c r="C393" s="64"/>
      <c r="D393" s="64"/>
      <c r="E393" s="88"/>
      <c r="F393" s="88"/>
      <c r="G393" s="93" t="str">
        <f t="shared" si="28"/>
        <v/>
      </c>
      <c r="H393" s="88" t="str">
        <f t="shared" si="29"/>
        <v/>
      </c>
      <c r="I393" s="64" t="str">
        <f t="shared" si="30"/>
        <v/>
      </c>
    </row>
    <row r="394" spans="1:9" x14ac:dyDescent="0.2">
      <c r="A394" s="64"/>
      <c r="B394" s="64"/>
      <c r="C394" s="64"/>
      <c r="D394" s="64"/>
      <c r="E394" s="88"/>
      <c r="F394" s="88"/>
      <c r="G394" s="93" t="str">
        <f t="shared" si="28"/>
        <v/>
      </c>
      <c r="H394" s="88" t="str">
        <f t="shared" si="29"/>
        <v/>
      </c>
      <c r="I394" s="64" t="str">
        <f t="shared" si="30"/>
        <v/>
      </c>
    </row>
    <row r="395" spans="1:9" x14ac:dyDescent="0.2">
      <c r="A395" s="64"/>
      <c r="B395" s="64"/>
      <c r="C395" s="64"/>
      <c r="D395" s="64"/>
      <c r="E395" s="88"/>
      <c r="F395" s="88"/>
      <c r="G395" s="93" t="str">
        <f t="shared" ref="G395:G400" si="31">IF(OR(AND(B395="", C395="", D395="", F395= ""), F395=""), "", F395/10^6)</f>
        <v/>
      </c>
      <c r="H395" s="88" t="str">
        <f t="shared" ref="H395:H400" si="32">IF(OR(AND(B395="", C395="", D395="", F395=""), F395=""), "", B$1/G395)</f>
        <v/>
      </c>
      <c r="I395" s="64" t="str">
        <f t="shared" ref="I395:I400" si="33">IF(OR(AND(B395="", C395="", D395="", F395=""), F395=""), "", IF(H395&lt;=$D$1, "Y", ""))</f>
        <v/>
      </c>
    </row>
    <row r="396" spans="1:9" x14ac:dyDescent="0.2">
      <c r="A396" s="64"/>
      <c r="B396" s="64"/>
      <c r="C396" s="64"/>
      <c r="D396" s="64"/>
      <c r="E396" s="88"/>
      <c r="F396" s="88"/>
      <c r="G396" s="93" t="str">
        <f t="shared" si="31"/>
        <v/>
      </c>
      <c r="H396" s="88" t="str">
        <f t="shared" si="32"/>
        <v/>
      </c>
      <c r="I396" s="64" t="str">
        <f t="shared" si="33"/>
        <v/>
      </c>
    </row>
    <row r="397" spans="1:9" x14ac:dyDescent="0.2">
      <c r="A397" s="64"/>
      <c r="B397" s="64"/>
      <c r="C397" s="64"/>
      <c r="D397" s="64"/>
      <c r="E397" s="88"/>
      <c r="F397" s="88"/>
      <c r="G397" s="93" t="str">
        <f t="shared" si="31"/>
        <v/>
      </c>
      <c r="H397" s="88" t="str">
        <f t="shared" si="32"/>
        <v/>
      </c>
      <c r="I397" s="64" t="str">
        <f t="shared" si="33"/>
        <v/>
      </c>
    </row>
    <row r="398" spans="1:9" x14ac:dyDescent="0.2">
      <c r="A398" s="64"/>
      <c r="B398" s="64"/>
      <c r="C398" s="64"/>
      <c r="D398" s="64"/>
      <c r="E398" s="88"/>
      <c r="F398" s="88"/>
      <c r="G398" s="93" t="str">
        <f t="shared" si="31"/>
        <v/>
      </c>
      <c r="H398" s="88" t="str">
        <f t="shared" si="32"/>
        <v/>
      </c>
      <c r="I398" s="64" t="str">
        <f t="shared" si="33"/>
        <v/>
      </c>
    </row>
    <row r="399" spans="1:9" x14ac:dyDescent="0.2">
      <c r="A399" s="64"/>
      <c r="B399" s="64"/>
      <c r="C399" s="64"/>
      <c r="D399" s="64"/>
      <c r="E399" s="88"/>
      <c r="F399" s="88"/>
      <c r="G399" s="93" t="str">
        <f t="shared" si="31"/>
        <v/>
      </c>
      <c r="H399" s="88" t="str">
        <f t="shared" si="32"/>
        <v/>
      </c>
      <c r="I399" s="64" t="str">
        <f t="shared" si="33"/>
        <v/>
      </c>
    </row>
    <row r="400" spans="1:9" x14ac:dyDescent="0.2">
      <c r="A400" s="64"/>
      <c r="B400" s="64"/>
      <c r="C400" s="64"/>
      <c r="D400" s="64"/>
      <c r="E400" s="88"/>
      <c r="F400" s="88"/>
      <c r="G400" s="93" t="str">
        <f t="shared" si="31"/>
        <v/>
      </c>
      <c r="H400" s="88" t="str">
        <f t="shared" si="32"/>
        <v/>
      </c>
      <c r="I400" s="64" t="str">
        <f t="shared" si="33"/>
        <v/>
      </c>
    </row>
  </sheetData>
  <mergeCells count="1">
    <mergeCell ref="J1:N2"/>
  </mergeCells>
  <conditionalFormatting sqref="A3:A400">
    <cfRule type="expression" dxfId="27" priority="67">
      <formula>I3="Y"</formula>
    </cfRule>
  </conditionalFormatting>
  <conditionalFormatting sqref="B3:B400">
    <cfRule type="expression" dxfId="26" priority="58">
      <formula>C3="Plate 4"</formula>
    </cfRule>
    <cfRule type="expression" dxfId="25" priority="59">
      <formula>C3="Plate 3"</formula>
    </cfRule>
    <cfRule type="expression" dxfId="24" priority="60">
      <formula>C3="Plate 2"</formula>
    </cfRule>
    <cfRule type="expression" dxfId="23" priority="61">
      <formula>C3="Plate 1"</formula>
    </cfRule>
    <cfRule type="expression" dxfId="22" priority="62">
      <formula>I3="Y"</formula>
    </cfRule>
  </conditionalFormatting>
  <conditionalFormatting sqref="C3:C400">
    <cfRule type="expression" dxfId="21" priority="49">
      <formula>$C3="Plate_4"</formula>
    </cfRule>
    <cfRule type="expression" dxfId="20" priority="50">
      <formula>$C3="Plate_3"</formula>
    </cfRule>
    <cfRule type="expression" dxfId="19" priority="51">
      <formula>$C3="Plate_2"</formula>
    </cfRule>
    <cfRule type="expression" dxfId="18" priority="52">
      <formula>$C3="Plate_1"</formula>
    </cfRule>
    <cfRule type="expression" dxfId="17" priority="53">
      <formula>I3="Y"</formula>
    </cfRule>
  </conditionalFormatting>
  <conditionalFormatting sqref="H3:H400">
    <cfRule type="expression" dxfId="16" priority="39">
      <formula>$C3="Plate 4"</formula>
    </cfRule>
    <cfRule type="expression" dxfId="15" priority="40">
      <formula>$C3="Plate 3"</formula>
    </cfRule>
    <cfRule type="expression" dxfId="14" priority="41">
      <formula>$C3="Plate 2"</formula>
    </cfRule>
    <cfRule type="expression" dxfId="13" priority="42">
      <formula>$C3="Plate 1"</formula>
    </cfRule>
    <cfRule type="expression" dxfId="12" priority="43">
      <formula>I3="Y"</formula>
    </cfRule>
  </conditionalFormatting>
  <conditionalFormatting sqref="D3:D400">
    <cfRule type="expression" dxfId="11" priority="19">
      <formula>$C3="Plate 4"</formula>
    </cfRule>
    <cfRule type="expression" dxfId="10" priority="20">
      <formula>$C3="Plate 3"</formula>
    </cfRule>
    <cfRule type="expression" dxfId="9" priority="21">
      <formula>$C3="Plate 2"</formula>
    </cfRule>
    <cfRule type="expression" dxfId="8" priority="22">
      <formula>$C3="Plate 1"</formula>
    </cfRule>
    <cfRule type="expression" dxfId="7" priority="23">
      <formula>I3="Y"</formula>
    </cfRule>
  </conditionalFormatting>
  <pageMargins left="0.7" right="0.7" top="0.75" bottom="0.75" header="0.3" footer="0.3"/>
  <pageSetup scale="78" fitToHeight="0" orientation="portrait" r:id="rId1"/>
  <headerFooter>
    <oddFooter>&amp;A</oddFoot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</vt:i4>
      </vt:variant>
    </vt:vector>
  </HeadingPairs>
  <TitlesOfParts>
    <vt:vector size="9" baseType="lpstr">
      <vt:lpstr>Paste Sample Names Here</vt:lpstr>
      <vt:lpstr>Metagenomic Sample Plates</vt:lpstr>
      <vt:lpstr>384 Well qPCR Layout</vt:lpstr>
      <vt:lpstr>Sheet3</vt:lpstr>
      <vt:lpstr>Paste qPCR Data Here</vt:lpstr>
      <vt:lpstr>Data</vt:lpstr>
      <vt:lpstr>Results</vt:lpstr>
      <vt:lpstr>Pool 1</vt:lpstr>
      <vt:lpstr>Results!Print_Titles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GSAF</dc:creator>
  <cp:lastModifiedBy>Microsoft Office User</cp:lastModifiedBy>
  <cp:lastPrinted>2014-10-24T22:00:15Z</cp:lastPrinted>
  <dcterms:created xsi:type="dcterms:W3CDTF">2014-06-04T22:42:41Z</dcterms:created>
  <dcterms:modified xsi:type="dcterms:W3CDTF">2021-05-18T17:18:58Z</dcterms:modified>
</cp:coreProperties>
</file>